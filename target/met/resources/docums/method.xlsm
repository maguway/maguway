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Work\Telegram Desktop\"/>
    </mc:Choice>
  </mc:AlternateContent>
  <bookViews>
    <workbookView xWindow="0" yWindow="0" windowWidth="28800" windowHeight="12210"/>
  </bookViews>
  <sheets>
    <sheet name="Лист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28" i="1" l="1"/>
  <c r="J32" i="1"/>
  <c r="J12" i="1" l="1"/>
  <c r="I12" i="1"/>
  <c r="H12" i="1"/>
  <c r="G12" i="1"/>
  <c r="F12" i="1"/>
  <c r="E12" i="1"/>
  <c r="K98" i="1" l="1"/>
  <c r="O129" i="1" l="1"/>
  <c r="O130" i="1"/>
  <c r="J21" i="1"/>
  <c r="O132" i="1"/>
  <c r="K100" i="1" l="1"/>
  <c r="K109" i="1" s="1"/>
  <c r="B136" i="1" s="1"/>
  <c r="J22" i="1" l="1"/>
  <c r="J23" i="1"/>
  <c r="J24" i="1"/>
  <c r="J25" i="1"/>
  <c r="J26" i="1"/>
  <c r="J27" i="1"/>
  <c r="J29" i="1"/>
  <c r="J30" i="1"/>
  <c r="J31" i="1"/>
  <c r="J33" i="1"/>
  <c r="J34" i="1"/>
  <c r="J35" i="1"/>
  <c r="J36" i="1"/>
  <c r="J37" i="1"/>
  <c r="J38" i="1"/>
  <c r="J13" i="1" l="1"/>
  <c r="E13" i="1"/>
  <c r="E14" i="1" s="1"/>
  <c r="G13" i="1"/>
  <c r="H13" i="1"/>
  <c r="F13" i="1"/>
  <c r="F14" i="1" s="1"/>
  <c r="I13" i="1"/>
  <c r="I14" i="1" l="1"/>
  <c r="G14" i="1"/>
  <c r="H14" i="1" l="1"/>
  <c r="J14" i="1"/>
  <c r="K14" i="1" l="1"/>
  <c r="J42" i="1"/>
  <c r="J43" i="1"/>
  <c r="J45" i="1" l="1"/>
  <c r="R86" i="1" s="1"/>
  <c r="T86" i="1"/>
  <c r="B95" i="1" l="1"/>
  <c r="C95" i="1" s="1"/>
  <c r="R89" i="1"/>
  <c r="R91" i="1" s="1"/>
  <c r="K95" i="1" l="1"/>
  <c r="R100" i="1"/>
  <c r="R109" i="1" s="1"/>
  <c r="T100" i="1"/>
  <c r="T109" i="1" s="1"/>
  <c r="S100" i="1"/>
  <c r="S109" i="1" s="1"/>
  <c r="L100" i="1"/>
  <c r="L109" i="1" s="1"/>
  <c r="M100" i="1"/>
  <c r="M109" i="1" l="1"/>
  <c r="N100" i="1"/>
  <c r="N109" i="1" l="1"/>
  <c r="O100" i="1"/>
  <c r="O109" i="1" l="1"/>
  <c r="P100" i="1"/>
  <c r="P109" i="1" l="1"/>
  <c r="Q100" i="1"/>
  <c r="Q109" i="1" s="1"/>
  <c r="B105" i="1" l="1"/>
  <c r="B114" i="1" s="1"/>
  <c r="K136" i="1" s="1"/>
</calcChain>
</file>

<file path=xl/sharedStrings.xml><?xml version="1.0" encoding="utf-8"?>
<sst xmlns="http://schemas.openxmlformats.org/spreadsheetml/2006/main" count="269" uniqueCount="242">
  <si>
    <t>S1</t>
  </si>
  <si>
    <t>S2</t>
  </si>
  <si>
    <t>S3</t>
  </si>
  <si>
    <t>S4</t>
  </si>
  <si>
    <t>S5</t>
  </si>
  <si>
    <t>S6</t>
  </si>
  <si>
    <t>Use Cases</t>
  </si>
  <si>
    <t>C</t>
  </si>
  <si>
    <t>Entities</t>
  </si>
  <si>
    <t>E</t>
  </si>
  <si>
    <t>Типы</t>
  </si>
  <si>
    <t>T</t>
  </si>
  <si>
    <t>Interaction</t>
  </si>
  <si>
    <t>I</t>
  </si>
  <si>
    <t>Узлы</t>
  </si>
  <si>
    <t>N</t>
  </si>
  <si>
    <t>Бизнес-мод.</t>
  </si>
  <si>
    <t>Упр. Треб.</t>
  </si>
  <si>
    <t>Проект.</t>
  </si>
  <si>
    <t>Реализ.</t>
  </si>
  <si>
    <t>Тестир.</t>
  </si>
  <si>
    <t>Развёрт.</t>
  </si>
  <si>
    <t>Si=</t>
  </si>
  <si>
    <t>КПi=</t>
  </si>
  <si>
    <t>Si*КПi=</t>
  </si>
  <si>
    <t>Трудоёмкость</t>
  </si>
  <si>
    <t>чел/мес</t>
  </si>
  <si>
    <t>К1</t>
  </si>
  <si>
    <t>К2</t>
  </si>
  <si>
    <t>К3</t>
  </si>
  <si>
    <t>К4</t>
  </si>
  <si>
    <t>К5</t>
  </si>
  <si>
    <t>К6</t>
  </si>
  <si>
    <t>К7</t>
  </si>
  <si>
    <t>К8</t>
  </si>
  <si>
    <t>К9</t>
  </si>
  <si>
    <t>К10</t>
  </si>
  <si>
    <t>К11</t>
  </si>
  <si>
    <t>К12</t>
  </si>
  <si>
    <t>К13</t>
  </si>
  <si>
    <t>К14</t>
  </si>
  <si>
    <t>К15</t>
  </si>
  <si>
    <t>К16</t>
  </si>
  <si>
    <t>К17</t>
  </si>
  <si>
    <t>К18</t>
  </si>
  <si>
    <t>Частные поправочные коэффициенты трудоёмкости процессов разработки ППО ИС</t>
  </si>
  <si>
    <t>Группа частных поправочных коэффициентов</t>
  </si>
  <si>
    <t>Фактор и обозначение частного поправочного коэффициента</t>
  </si>
  <si>
    <t>Описание фактора частного поправочного коэффициента</t>
  </si>
  <si>
    <t>Значение</t>
  </si>
  <si>
    <t>Внутренние факторы</t>
  </si>
  <si>
    <t>К1 режим эксплуатации ИС</t>
  </si>
  <si>
    <t>К2 масштаб ИС</t>
  </si>
  <si>
    <t>К3 стабильность ИС</t>
  </si>
  <si>
    <t>К6 контрол. след операций</t>
  </si>
  <si>
    <t>К4 защита от несан.  доступа</t>
  </si>
  <si>
    <t>К7 отказоустойчивость</t>
  </si>
  <si>
    <t>К5 защита ПО и данных</t>
  </si>
  <si>
    <t>К9 длительность обработки</t>
  </si>
  <si>
    <t>К8 восстанавливаемость</t>
  </si>
  <si>
    <t>К10 исходный язык ИС</t>
  </si>
  <si>
    <t>Факторы серды</t>
  </si>
  <si>
    <t>К11 класс пользователя</t>
  </si>
  <si>
    <t>К12 треб-я к ЦП, видео</t>
  </si>
  <si>
    <t>К14 треб-я к накопителю</t>
  </si>
  <si>
    <t>К15 треб-я к локальной сети</t>
  </si>
  <si>
    <t>К17 готовность</t>
  </si>
  <si>
    <t>К16 критичность ИС</t>
  </si>
  <si>
    <t>К18 представление данных</t>
  </si>
  <si>
    <t>реляционный</t>
  </si>
  <si>
    <t>форматированный файл</t>
  </si>
  <si>
    <t>Частные поправочные коэффициенты трудоёмкости разработки и сопровождения прикладного программного обеспечени</t>
  </si>
  <si>
    <t>K1</t>
  </si>
  <si>
    <t>обработка данных в режиме разделения времени</t>
  </si>
  <si>
    <t>параллельная обработка данных</t>
  </si>
  <si>
    <t>обработка данных в режиме реального времени</t>
  </si>
  <si>
    <t>совмещённая обработка данных</t>
  </si>
  <si>
    <t>K2</t>
  </si>
  <si>
    <t>малые ИС (до 10 пользователей с непродолжительным ЖЦ)</t>
  </si>
  <si>
    <t>средние ИС (от 11 до 100 пользователей с длительным ЖЦ с возможностью роста до крупных систем)</t>
  </si>
  <si>
    <t>крупные ИС (от 101 до 1000 пользователей с длительным ЖЦ и миграцией унаследованных систем)</t>
  </si>
  <si>
    <t>сверхбольшие (с 1000 до 10 000 пользователей)</t>
  </si>
  <si>
    <t>Свыше 10 000 пользователей</t>
  </si>
  <si>
    <t>K3</t>
  </si>
  <si>
    <t>постоянное внесение изменений</t>
  </si>
  <si>
    <t>дискретное внесение изменений</t>
  </si>
  <si>
    <t xml:space="preserve">маловероятное внесение изменений </t>
  </si>
  <si>
    <t>K4</t>
  </si>
  <si>
    <t>сильная</t>
  </si>
  <si>
    <t>средняя</t>
  </si>
  <si>
    <t>слабая</t>
  </si>
  <si>
    <t>K5</t>
  </si>
  <si>
    <t>сильная*</t>
  </si>
  <si>
    <t>средняя*</t>
  </si>
  <si>
    <t>Слабая*</t>
  </si>
  <si>
    <t>K6</t>
  </si>
  <si>
    <t>не имеется</t>
  </si>
  <si>
    <t>выборочное отслеживание</t>
  </si>
  <si>
    <t>полное отслеживание</t>
  </si>
  <si>
    <t>K7</t>
  </si>
  <si>
    <t>Высокая*</t>
  </si>
  <si>
    <t xml:space="preserve">Средняя* </t>
  </si>
  <si>
    <t>Низкая*</t>
  </si>
  <si>
    <t>K8</t>
  </si>
  <si>
    <t xml:space="preserve">высокая* </t>
  </si>
  <si>
    <t xml:space="preserve">средняя* </t>
  </si>
  <si>
    <t>низкая*</t>
  </si>
  <si>
    <t>K9</t>
  </si>
  <si>
    <t>быстрая*</t>
  </si>
  <si>
    <t>умеренная*</t>
  </si>
  <si>
    <t>медленная*</t>
  </si>
  <si>
    <t>K10</t>
  </si>
  <si>
    <t>традиционный (Кобол, Фортран и т.д.)</t>
  </si>
  <si>
    <t>процедурный (Си или эквивалентный)</t>
  </si>
  <si>
    <t>функциональный (Лисп или эквивалентный)</t>
  </si>
  <si>
    <t>объектно-ориентированный (Си++ или эквивалентный)</t>
  </si>
  <si>
    <t>K11</t>
  </si>
  <si>
    <t>начинающий*</t>
  </si>
  <si>
    <t>средний*</t>
  </si>
  <si>
    <t>специалист (эксперт)*</t>
  </si>
  <si>
    <t>случайный*</t>
  </si>
  <si>
    <t>другая ИС (ПО) *</t>
  </si>
  <si>
    <t>технические средства*</t>
  </si>
  <si>
    <t>K12</t>
  </si>
  <si>
    <t>большая*</t>
  </si>
  <si>
    <t>малая*</t>
  </si>
  <si>
    <t>K13</t>
  </si>
  <si>
    <t>K14</t>
  </si>
  <si>
    <t>K15</t>
  </si>
  <si>
    <t>высокие требования*</t>
  </si>
  <si>
    <t>средние требования*</t>
  </si>
  <si>
    <t>K16</t>
  </si>
  <si>
    <t>человеческая жизнь</t>
  </si>
  <si>
    <t>национальная безопасность</t>
  </si>
  <si>
    <t>социальный хаос и паника</t>
  </si>
  <si>
    <t>организационная безопасность</t>
  </si>
  <si>
    <t>K17</t>
  </si>
  <si>
    <t>наличие в готовом виде (есть альтернативные продукты)</t>
  </si>
  <si>
    <t>общедоступная (известная методика)</t>
  </si>
  <si>
    <t>заказное (методика заказчика специфическая)</t>
  </si>
  <si>
    <t>запатентованное (методика разработчика)</t>
  </si>
  <si>
    <t>K18</t>
  </si>
  <si>
    <t>индексируемый (иерархический)</t>
  </si>
  <si>
    <t>сетевой</t>
  </si>
  <si>
    <t>объектный</t>
  </si>
  <si>
    <t>документно-ориентированный</t>
  </si>
  <si>
    <t>Коэфф.</t>
  </si>
  <si>
    <t>Зависимость срока разработки от трудоёмкости</t>
  </si>
  <si>
    <t>до</t>
  </si>
  <si>
    <t>Трудоёмкость чел./часов  - -  от</t>
  </si>
  <si>
    <t>Срок разработки ППО в месяцах</t>
  </si>
  <si>
    <t>R min=</t>
  </si>
  <si>
    <t>R max=</t>
  </si>
  <si>
    <t>R=</t>
  </si>
  <si>
    <t>Срок разработки можно сократить в пределах от</t>
  </si>
  <si>
    <t>Введите значение</t>
  </si>
  <si>
    <t>Определение минимального и максимального срока разработки</t>
  </si>
  <si>
    <t>Определение срока разработки (среднее арифметическое)</t>
  </si>
  <si>
    <t>Увеличение трудоемкости</t>
  </si>
  <si>
    <t>Значения нормативных коэффициентов расхода разработчика.</t>
  </si>
  <si>
    <t>Наименование показателя</t>
  </si>
  <si>
    <t>Норматив</t>
  </si>
  <si>
    <t>Накладные расходы (аренда, командировочные, канцелярские товары, отпускные и др.)</t>
  </si>
  <si>
    <t>ПНР</t>
  </si>
  <si>
    <t>Расходы периода (расходы на административный управленческий персонал и маркетинг)</t>
  </si>
  <si>
    <t>ПРП</t>
  </si>
  <si>
    <t xml:space="preserve">Рентабельность </t>
  </si>
  <si>
    <t>ПР</t>
  </si>
  <si>
    <t>Коэффициент эластичности трудоёмкости</t>
  </si>
  <si>
    <t>L</t>
  </si>
  <si>
    <t>Коэффициент трудоёмкости сопровождения ППО</t>
  </si>
  <si>
    <t>Новое значение трудоемкости</t>
  </si>
  <si>
    <t>пп 2.35-2.36</t>
  </si>
  <si>
    <t>Определения трудоемкости при уменьшении срока разработки до минимального</t>
  </si>
  <si>
    <t>Определяем среднее количество лет реализации проекта Гср</t>
  </si>
  <si>
    <t>Гср=</t>
  </si>
  <si>
    <t>Индекс потребительских цен ДНР</t>
  </si>
  <si>
    <t>Определяем среднемесячную номинальную заработную плату Зcp по годам</t>
  </si>
  <si>
    <t>средний размер инфляции</t>
  </si>
  <si>
    <t>з/п по док.</t>
  </si>
  <si>
    <t>Главстат ДНР № 13-31/49 от 22.03.2017г.</t>
  </si>
  <si>
    <t>среднемес. з/п</t>
  </si>
  <si>
    <t xml:space="preserve">Зcp = </t>
  </si>
  <si>
    <t xml:space="preserve">Иср = </t>
  </si>
  <si>
    <t>Стоимость работ на разработку ППО ИС Сппо</t>
  </si>
  <si>
    <t>Определяем соответствующую среднюю стоимость 1 человека-месяца инженера-программиста по годам</t>
  </si>
  <si>
    <t>Сппо=</t>
  </si>
  <si>
    <t>ЕСВ</t>
  </si>
  <si>
    <t>Накл.расх.</t>
  </si>
  <si>
    <t>Расх.периода</t>
  </si>
  <si>
    <t>Рентабельность</t>
  </si>
  <si>
    <t>Средняя стоимость чел./мес.</t>
  </si>
  <si>
    <t xml:space="preserve">Пнр = </t>
  </si>
  <si>
    <t>Прп =</t>
  </si>
  <si>
    <t>Пр =</t>
  </si>
  <si>
    <t>Сср =</t>
  </si>
  <si>
    <t>Псн =</t>
  </si>
  <si>
    <t>Обознач</t>
  </si>
  <si>
    <t>Определяем трудоёмкость разработки информационной системы по годам реализации</t>
  </si>
  <si>
    <t>Sj=</t>
  </si>
  <si>
    <t xml:space="preserve">Зcp 1 = </t>
  </si>
  <si>
    <t>Стоимость техподдержки кодов ППО ИС в течение одного года Стпо</t>
  </si>
  <si>
    <t>Стпо=</t>
  </si>
  <si>
    <t>51-100</t>
  </si>
  <si>
    <t>101-200</t>
  </si>
  <si>
    <t>201-400</t>
  </si>
  <si>
    <t>Каждые дополнительные 100 пользователей</t>
  </si>
  <si>
    <t>1-50</t>
  </si>
  <si>
    <t>Количество пользователей охваченных процессом поддержки</t>
  </si>
  <si>
    <t>Норма занятого персонала в проведении эксплуатационных испытаний, чел.мес</t>
  </si>
  <si>
    <t>для учёт. инф. с-м</t>
  </si>
  <si>
    <t>Норма занятого персонала в поддержке пользователей системы, чел. мес</t>
  </si>
  <si>
    <t>Сэкспл=</t>
  </si>
  <si>
    <t>Стоимость 1 года поддержки эксплуатации ППО Сэкспл</t>
  </si>
  <si>
    <t>коэффициент потребности работ в проведении эксплуатационных испытаний</t>
  </si>
  <si>
    <t>для аналит.инф. с-м</t>
  </si>
  <si>
    <t>система находится в опытной эксплуатации</t>
  </si>
  <si>
    <t>система находится в промышленной эксплуатации</t>
  </si>
  <si>
    <t>для учётных информационных систем</t>
  </si>
  <si>
    <t>для аналитических информационных систем</t>
  </si>
  <si>
    <t>Стоимость сопровождения ППО ИС Ссппо за год</t>
  </si>
  <si>
    <t>Ссппо=</t>
  </si>
  <si>
    <t>Сппо = Sum(Сср_i * Зcp)</t>
  </si>
  <si>
    <t>Сср = Зср * (1 + (0,9 * Псн + Пнр + Прп)/100) * (1 + Пр/100)</t>
  </si>
  <si>
    <t>Зcp = Зср_i * (1 + Иср/100)</t>
  </si>
  <si>
    <t>или</t>
  </si>
  <si>
    <t>Сппо = Sum(Сппо_i)</t>
  </si>
  <si>
    <t>Ссппо = Стпо + Сэкспл</t>
  </si>
  <si>
    <t>Стпо = Сппо * (N/100) * K2 * K3 * K16</t>
  </si>
  <si>
    <t>Сэкспл = =(n_n + k * n_исп + n_(n.польз)) * С_ср * 12</t>
  </si>
  <si>
    <t>Нормативы трудоёмкости по процессам в разрезе функциональных единиц</t>
  </si>
  <si>
    <t>Факторы данных</t>
  </si>
  <si>
    <t>высокие*</t>
  </si>
  <si>
    <t>средние*</t>
  </si>
  <si>
    <t>К13 треб-я к ОП</t>
  </si>
  <si>
    <t>Норма занятого персонала в подготовке процесса поддержки эксплуатации, чел.мес</t>
  </si>
  <si>
    <t>Кол-во чел/час. в одном чел/мес:</t>
  </si>
  <si>
    <t xml:space="preserve">Количество вариантов: </t>
  </si>
  <si>
    <t>Количество типов объектов:</t>
  </si>
  <si>
    <t>Количество свойств типов:</t>
  </si>
  <si>
    <t>Количество взаимосвязей:</t>
  </si>
  <si>
    <t xml:space="preserve">Количество типов узлов: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</si>
</sst>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0"/>
    <numFmt numFmtId="165" formatCode="0.0%"/>
  </numFmts>
  <fonts count="18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1"/>
      <color rgb="FF00B050"/>
      <name val="Calibri"/>
      <family val="2"/>
      <charset val="204"/>
      <scheme val="minor"/>
    </font>
    <font>
      <sz val="10"/>
      <color rgb="FF000000"/>
      <name val="Calibri"/>
      <family val="2"/>
      <charset val="204"/>
      <scheme val="minor"/>
    </font>
    <font>
      <sz val="11"/>
      <color rgb="FF00B050"/>
      <name val="Calibri"/>
      <family val="2"/>
      <charset val="204"/>
      <scheme val="minor"/>
    </font>
    <font>
      <b/>
      <i/>
      <sz val="11"/>
      <color rgb="FF0070C0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b/>
      <sz val="11"/>
      <color rgb="FF000000"/>
      <name val="Calibri"/>
      <family val="2"/>
      <charset val="204"/>
    </font>
    <font>
      <b/>
      <sz val="12"/>
      <color rgb="FF00B050"/>
      <name val="Calibri"/>
      <family val="2"/>
      <charset val="204"/>
      <scheme val="minor"/>
    </font>
    <font>
      <b/>
      <sz val="11"/>
      <color theme="4"/>
      <name val="Calibri"/>
      <family val="2"/>
      <charset val="204"/>
      <scheme val="minor"/>
    </font>
    <font>
      <b/>
      <i/>
      <sz val="12"/>
      <color rgb="FFC00000"/>
      <name val="Calibri"/>
      <family val="2"/>
      <charset val="204"/>
      <scheme val="minor"/>
    </font>
    <font>
      <b/>
      <sz val="12"/>
      <color theme="8"/>
      <name val="Calibri"/>
      <family val="2"/>
      <charset val="204"/>
      <scheme val="minor"/>
    </font>
    <font>
      <b/>
      <sz val="12"/>
      <color theme="8"/>
      <name val="Calibri"/>
      <family val="2"/>
      <charset val="204"/>
    </font>
    <font>
      <sz val="12"/>
      <color theme="1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b/>
      <sz val="12"/>
      <color rgb="FFC00000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b/>
      <sz val="12"/>
      <color rgb="FF7030A0"/>
      <name val="Calibri"/>
      <family val="2"/>
      <charset val="20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rgb="FFC00000"/>
      </left>
      <right style="thick">
        <color rgb="FFC00000"/>
      </right>
      <top style="thick">
        <color rgb="FFC00000"/>
      </top>
      <bottom style="thick">
        <color rgb="FFC00000"/>
      </bottom>
      <diagonal/>
    </border>
    <border>
      <left/>
      <right style="thick">
        <color rgb="FFC00000"/>
      </right>
      <top/>
      <bottom/>
      <diagonal/>
    </border>
    <border>
      <left style="thick">
        <color rgb="FFC00000"/>
      </left>
      <right/>
      <top style="thick">
        <color rgb="FFC00000"/>
      </top>
      <bottom style="thick">
        <color rgb="FFC00000"/>
      </bottom>
      <diagonal/>
    </border>
    <border>
      <left/>
      <right/>
      <top style="thick">
        <color rgb="FFC00000"/>
      </top>
      <bottom style="thick">
        <color rgb="FFC00000"/>
      </bottom>
      <diagonal/>
    </border>
    <border>
      <left/>
      <right style="thick">
        <color rgb="FFC00000"/>
      </right>
      <top style="thick">
        <color rgb="FFC00000"/>
      </top>
      <bottom style="thick">
        <color rgb="FFC00000"/>
      </bottom>
      <diagonal/>
    </border>
    <border>
      <left style="medium">
        <color rgb="FFFFC000"/>
      </left>
      <right/>
      <top/>
      <bottom/>
      <diagonal/>
    </border>
  </borders>
  <cellStyleXfs count="1">
    <xf numFmtId="0" fontId="0" fillId="0" borderId="0"/>
  </cellStyleXfs>
  <cellXfs count="89">
    <xf numFmtId="0" fontId="0" fillId="0" borderId="0" xfId="0"/>
    <xf numFmtId="0" fontId="0" fillId="0" borderId="0" xfId="0" applyFont="1"/>
    <xf numFmtId="0" fontId="1" fillId="0" borderId="0" xfId="0" applyFont="1"/>
    <xf numFmtId="0" fontId="2" fillId="0" borderId="0" xfId="0" applyFont="1"/>
    <xf numFmtId="0" fontId="4" fillId="0" borderId="0" xfId="0" applyFont="1"/>
    <xf numFmtId="0" fontId="5" fillId="0" borderId="0" xfId="0" applyFont="1"/>
    <xf numFmtId="0" fontId="0" fillId="2" borderId="0" xfId="0" applyFont="1" applyFill="1"/>
    <xf numFmtId="0" fontId="6" fillId="0" borderId="0" xfId="0" applyFont="1" applyFill="1" applyBorder="1"/>
    <xf numFmtId="0" fontId="7" fillId="0" borderId="0" xfId="0" applyFont="1" applyFill="1" applyBorder="1"/>
    <xf numFmtId="2" fontId="6" fillId="0" borderId="0" xfId="0" applyNumberFormat="1" applyFont="1" applyFill="1" applyBorder="1"/>
    <xf numFmtId="0" fontId="0" fillId="0" borderId="1" xfId="0" applyBorder="1" applyAlignment="1">
      <alignment horizontal="right"/>
    </xf>
    <xf numFmtId="0" fontId="0" fillId="3" borderId="1" xfId="0" applyFill="1" applyBorder="1" applyAlignment="1">
      <alignment horizontal="right"/>
    </xf>
    <xf numFmtId="0" fontId="9" fillId="0" borderId="0" xfId="0" applyFont="1" applyBorder="1" applyAlignment="1">
      <alignment horizontal="center"/>
    </xf>
    <xf numFmtId="0" fontId="0" fillId="0" borderId="0" xfId="0" applyFont="1" applyBorder="1"/>
    <xf numFmtId="0" fontId="10" fillId="4" borderId="7" xfId="0" applyFont="1" applyFill="1" applyBorder="1" applyAlignment="1">
      <alignment horizontal="center"/>
    </xf>
    <xf numFmtId="0" fontId="11" fillId="5" borderId="0" xfId="0" applyFont="1" applyFill="1" applyBorder="1"/>
    <xf numFmtId="0" fontId="11" fillId="5" borderId="0" xfId="0" applyFont="1" applyFill="1" applyAlignment="1"/>
    <xf numFmtId="0" fontId="11" fillId="0" borderId="0" xfId="0" applyFont="1" applyAlignment="1"/>
    <xf numFmtId="0" fontId="11" fillId="0" borderId="0" xfId="0" applyFont="1" applyBorder="1" applyAlignment="1"/>
    <xf numFmtId="0" fontId="12" fillId="0" borderId="0" xfId="0" applyFont="1" applyFill="1" applyBorder="1" applyAlignment="1"/>
    <xf numFmtId="0" fontId="11" fillId="5" borderId="0" xfId="0" applyFont="1" applyFill="1"/>
    <xf numFmtId="0" fontId="8" fillId="0" borderId="0" xfId="0" applyFont="1"/>
    <xf numFmtId="10" fontId="8" fillId="0" borderId="0" xfId="0" applyNumberFormat="1" applyFont="1" applyAlignment="1">
      <alignment horizontal="left"/>
    </xf>
    <xf numFmtId="9" fontId="8" fillId="0" borderId="0" xfId="0" applyNumberFormat="1" applyFont="1" applyAlignment="1">
      <alignment horizontal="left"/>
    </xf>
    <xf numFmtId="0" fontId="8" fillId="4" borderId="0" xfId="0" applyFont="1" applyFill="1" applyAlignment="1">
      <alignment horizontal="left"/>
    </xf>
    <xf numFmtId="0" fontId="2" fillId="4" borderId="1" xfId="0" applyFont="1" applyFill="1" applyBorder="1"/>
    <xf numFmtId="0" fontId="2" fillId="0" borderId="1" xfId="0" applyFont="1" applyBorder="1"/>
    <xf numFmtId="0" fontId="0" fillId="0" borderId="1" xfId="0" applyFont="1" applyBorder="1"/>
    <xf numFmtId="0" fontId="3" fillId="0" borderId="1" xfId="0" applyFont="1" applyBorder="1"/>
    <xf numFmtId="164" fontId="11" fillId="5" borderId="0" xfId="0" applyNumberFormat="1" applyFont="1" applyFill="1"/>
    <xf numFmtId="1" fontId="11" fillId="5" borderId="0" xfId="0" applyNumberFormat="1" applyFont="1" applyFill="1"/>
    <xf numFmtId="165" fontId="13" fillId="4" borderId="0" xfId="0" applyNumberFormat="1" applyFont="1" applyFill="1"/>
    <xf numFmtId="0" fontId="1" fillId="0" borderId="0" xfId="0" applyFont="1" applyAlignment="1">
      <alignment horizontal="center"/>
    </xf>
    <xf numFmtId="0" fontId="1" fillId="0" borderId="0" xfId="0" applyFont="1" applyAlignment="1"/>
    <xf numFmtId="1" fontId="11" fillId="5" borderId="0" xfId="0" applyNumberFormat="1" applyFont="1" applyFill="1" applyAlignment="1"/>
    <xf numFmtId="1" fontId="14" fillId="4" borderId="0" xfId="0" applyNumberFormat="1" applyFont="1" applyFill="1" applyBorder="1"/>
    <xf numFmtId="0" fontId="11" fillId="4" borderId="1" xfId="0" applyFont="1" applyFill="1" applyBorder="1"/>
    <xf numFmtId="0" fontId="11" fillId="4" borderId="0" xfId="0" applyFont="1" applyFill="1" applyBorder="1" applyAlignment="1"/>
    <xf numFmtId="0" fontId="11" fillId="4" borderId="0" xfId="0" applyFont="1" applyFill="1" applyBorder="1"/>
    <xf numFmtId="0" fontId="15" fillId="4" borderId="7" xfId="0" applyFont="1" applyFill="1" applyBorder="1"/>
    <xf numFmtId="0" fontId="17" fillId="0" borderId="0" xfId="0" applyFont="1" applyFill="1"/>
    <xf numFmtId="0" fontId="17" fillId="0" borderId="0" xfId="0" applyFont="1"/>
    <xf numFmtId="0" fontId="16" fillId="0" borderId="0" xfId="0" applyFont="1"/>
    <xf numFmtId="0" fontId="8" fillId="5" borderId="0" xfId="0" applyFont="1" applyFill="1" applyBorder="1" applyAlignment="1">
      <alignment horizontal="center"/>
    </xf>
    <xf numFmtId="0" fontId="17" fillId="0" borderId="0" xfId="0" applyFont="1" applyAlignment="1"/>
    <xf numFmtId="0" fontId="0" fillId="0" borderId="0" xfId="0" applyFont="1" applyAlignment="1">
      <alignment horizontal="right"/>
    </xf>
    <xf numFmtId="0" fontId="8" fillId="0" borderId="12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0" fillId="6" borderId="0" xfId="0" applyFont="1" applyFill="1" applyAlignment="1">
      <alignment horizontal="left"/>
    </xf>
    <xf numFmtId="0" fontId="0" fillId="6" borderId="8" xfId="0" applyFont="1" applyFill="1" applyBorder="1" applyAlignment="1">
      <alignment horizontal="left"/>
    </xf>
    <xf numFmtId="0" fontId="0" fillId="6" borderId="0" xfId="0" applyFont="1" applyFill="1" applyBorder="1" applyAlignment="1">
      <alignment horizontal="left"/>
    </xf>
    <xf numFmtId="0" fontId="13" fillId="6" borderId="0" xfId="0" applyFont="1" applyFill="1" applyAlignment="1">
      <alignment horizontal="left" wrapText="1"/>
    </xf>
    <xf numFmtId="0" fontId="13" fillId="4" borderId="9" xfId="0" applyFont="1" applyFill="1" applyBorder="1" applyAlignment="1">
      <alignment horizontal="left"/>
    </xf>
    <xf numFmtId="0" fontId="13" fillId="4" borderId="10" xfId="0" applyFont="1" applyFill="1" applyBorder="1" applyAlignment="1">
      <alignment horizontal="left"/>
    </xf>
    <xf numFmtId="0" fontId="13" fillId="4" borderId="11" xfId="0" applyFont="1" applyFill="1" applyBorder="1" applyAlignment="1">
      <alignment horizontal="left"/>
    </xf>
    <xf numFmtId="3" fontId="11" fillId="5" borderId="0" xfId="0" applyNumberFormat="1" applyFont="1" applyFill="1" applyAlignment="1"/>
    <xf numFmtId="49" fontId="0" fillId="0" borderId="1" xfId="0" applyNumberFormat="1" applyFont="1" applyBorder="1" applyAlignment="1">
      <alignment horizontal="center" vertical="center" wrapText="1"/>
    </xf>
    <xf numFmtId="0" fontId="13" fillId="0" borderId="1" xfId="0" applyFont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4" fontId="11" fillId="5" borderId="0" xfId="0" applyNumberFormat="1" applyFont="1" applyFill="1" applyAlignment="1"/>
    <xf numFmtId="0" fontId="0" fillId="0" borderId="1" xfId="0" applyFont="1" applyBorder="1" applyAlignment="1">
      <alignment horizontal="center" vertical="top" wrapText="1"/>
    </xf>
    <xf numFmtId="49" fontId="0" fillId="0" borderId="1" xfId="0" applyNumberFormat="1" applyFont="1" applyBorder="1" applyAlignment="1">
      <alignment horizontal="center"/>
    </xf>
    <xf numFmtId="0" fontId="0" fillId="0" borderId="1" xfId="0" applyFont="1" applyBorder="1" applyAlignment="1">
      <alignment horizontal="center" wrapText="1"/>
    </xf>
    <xf numFmtId="0" fontId="0" fillId="0" borderId="1" xfId="0" applyFont="1" applyBorder="1" applyAlignment="1">
      <alignment horizontal="center"/>
    </xf>
    <xf numFmtId="10" fontId="13" fillId="4" borderId="0" xfId="0" applyNumberFormat="1" applyFont="1" applyFill="1"/>
    <xf numFmtId="3" fontId="11" fillId="5" borderId="0" xfId="0" applyNumberFormat="1" applyFont="1" applyFill="1"/>
    <xf numFmtId="0" fontId="17" fillId="0" borderId="0" xfId="0" applyFont="1" applyAlignment="1">
      <alignment horizontal="left"/>
    </xf>
    <xf numFmtId="0" fontId="17" fillId="0" borderId="0" xfId="0" applyFont="1" applyFill="1" applyAlignment="1">
      <alignment horizontal="left"/>
    </xf>
    <xf numFmtId="0" fontId="0" fillId="0" borderId="5" xfId="0" applyBorder="1"/>
    <xf numFmtId="0" fontId="0" fillId="0" borderId="6" xfId="0" applyBorder="1"/>
    <xf numFmtId="0" fontId="0" fillId="0" borderId="1" xfId="0" applyNumberFormat="1" applyBorder="1" applyAlignment="1"/>
    <xf numFmtId="0" fontId="0" fillId="0" borderId="1" xfId="0" applyFont="1" applyBorder="1" applyAlignment="1"/>
    <xf numFmtId="0" fontId="1" fillId="2" borderId="1" xfId="0" applyFont="1" applyFill="1" applyBorder="1" applyAlignment="1">
      <alignment horizontal="center" vertical="center" wrapText="1"/>
    </xf>
    <xf numFmtId="0" fontId="0" fillId="0" borderId="1" xfId="0" applyFont="1" applyFill="1" applyBorder="1" applyAlignment="1">
      <alignment horizontal="center" vertical="top" wrapText="1"/>
    </xf>
    <xf numFmtId="0" fontId="0" fillId="0" borderId="1" xfId="0" applyFill="1" applyBorder="1" applyAlignment="1">
      <alignment horizontal="center" vertical="top" wrapText="1"/>
    </xf>
    <xf numFmtId="0" fontId="0" fillId="4" borderId="1" xfId="0" applyFont="1" applyFill="1" applyBorder="1" applyAlignment="1"/>
    <xf numFmtId="0" fontId="0" fillId="0" borderId="1" xfId="0" applyFont="1" applyFill="1" applyBorder="1" applyAlignment="1">
      <alignment wrapText="1"/>
    </xf>
    <xf numFmtId="0" fontId="0" fillId="0" borderId="1" xfId="0" applyFill="1" applyBorder="1" applyAlignment="1">
      <alignment wrapText="1"/>
    </xf>
    <xf numFmtId="0" fontId="0" fillId="3" borderId="1" xfId="0" applyFont="1" applyFill="1" applyBorder="1" applyAlignment="1">
      <alignment horizontal="center" vertical="top" wrapText="1"/>
    </xf>
    <xf numFmtId="0" fontId="0" fillId="3" borderId="1" xfId="0" applyFill="1" applyBorder="1" applyAlignment="1">
      <alignment horizontal="center" vertical="top" wrapText="1"/>
    </xf>
    <xf numFmtId="0" fontId="1" fillId="2" borderId="1" xfId="0" applyFont="1" applyFill="1" applyBorder="1" applyAlignment="1">
      <alignment horizontal="center" vertical="top" wrapText="1"/>
    </xf>
    <xf numFmtId="0" fontId="0" fillId="3" borderId="1" xfId="0" applyFont="1" applyFill="1" applyBorder="1" applyAlignment="1">
      <alignment wrapText="1"/>
    </xf>
    <xf numFmtId="0" fontId="0" fillId="3" borderId="1" xfId="0" applyFill="1" applyBorder="1" applyAlignment="1">
      <alignment wrapText="1"/>
    </xf>
    <xf numFmtId="0" fontId="1" fillId="2" borderId="2" xfId="0" applyFont="1" applyFill="1" applyBorder="1" applyAlignment="1">
      <alignment vertical="top"/>
    </xf>
    <xf numFmtId="0" fontId="1" fillId="2" borderId="3" xfId="0" applyFont="1" applyFill="1" applyBorder="1" applyAlignment="1">
      <alignment vertical="top"/>
    </xf>
    <xf numFmtId="0" fontId="1" fillId="2" borderId="4" xfId="0" applyFont="1" applyFill="1" applyBorder="1" applyAlignment="1">
      <alignment vertical="top"/>
    </xf>
    <xf numFmtId="0" fontId="1" fillId="2" borderId="1" xfId="0" applyFont="1" applyFill="1" applyBorder="1" applyAlignment="1">
      <alignment vertical="top"/>
    </xf>
    <xf numFmtId="0" fontId="0" fillId="0" borderId="1" xfId="0" applyBorder="1" applyAlignment="1">
      <alignment vertical="top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U147"/>
  <sheetViews>
    <sheetView tabSelected="1" workbookViewId="0">
      <selection activeCell="A8" sqref="A8"/>
    </sheetView>
  </sheetViews>
  <sheetFormatPr defaultRowHeight="15" x14ac:dyDescent="0.25"/>
  <cols>
    <col min="1" max="1" width="9.140625" style="1"/>
    <col min="2" max="2" width="9.140625" style="1" customWidth="1"/>
    <col min="3" max="10" width="9.140625" style="1"/>
    <col min="11" max="11" width="9.140625" style="1" customWidth="1"/>
    <col min="12" max="14" width="9.140625" style="1"/>
    <col min="15" max="15" width="9.140625" style="1" customWidth="1"/>
    <col min="16" max="19" width="9.140625" style="1"/>
    <col min="20" max="20" width="49.28515625" style="1" customWidth="1"/>
    <col min="21" max="16384" width="9.140625" style="1"/>
  </cols>
  <sheetData>
    <row r="1" spans="1:21" x14ac:dyDescent="0.25">
      <c r="B1" s="2" t="s">
        <v>230</v>
      </c>
      <c r="S1" s="8" t="s">
        <v>71</v>
      </c>
      <c r="U1" s="7"/>
    </row>
    <row r="2" spans="1:21" x14ac:dyDescent="0.25">
      <c r="E2" s="6" t="s">
        <v>0</v>
      </c>
      <c r="F2" s="6" t="s">
        <v>1</v>
      </c>
      <c r="G2" s="6" t="s">
        <v>2</v>
      </c>
      <c r="H2" s="6" t="s">
        <v>3</v>
      </c>
      <c r="I2" s="6" t="s">
        <v>4</v>
      </c>
      <c r="J2" s="6" t="s">
        <v>5</v>
      </c>
      <c r="S2" s="7" t="s">
        <v>72</v>
      </c>
      <c r="T2" s="7" t="s">
        <v>73</v>
      </c>
      <c r="U2" s="9">
        <v>1</v>
      </c>
    </row>
    <row r="3" spans="1:21" x14ac:dyDescent="0.25">
      <c r="A3" s="26" t="s">
        <v>6</v>
      </c>
      <c r="B3" s="26" t="s">
        <v>7</v>
      </c>
      <c r="C3" s="25">
        <v>12</v>
      </c>
      <c r="D3" s="27"/>
      <c r="E3" s="28">
        <v>32.119999999999997</v>
      </c>
      <c r="F3" s="28">
        <v>58.03</v>
      </c>
      <c r="G3" s="28">
        <v>45.42</v>
      </c>
      <c r="H3" s="28">
        <v>31.57</v>
      </c>
      <c r="I3" s="28">
        <v>88.96</v>
      </c>
      <c r="J3" s="28">
        <v>8.69</v>
      </c>
      <c r="M3" s="4" t="s">
        <v>237</v>
      </c>
      <c r="S3" s="7"/>
      <c r="T3" s="7" t="s">
        <v>74</v>
      </c>
      <c r="U3" s="9">
        <v>1.04</v>
      </c>
    </row>
    <row r="4" spans="1:21" x14ac:dyDescent="0.25">
      <c r="A4" s="26" t="s">
        <v>8</v>
      </c>
      <c r="B4" s="26" t="s">
        <v>9</v>
      </c>
      <c r="C4" s="25">
        <v>26</v>
      </c>
      <c r="D4" s="27"/>
      <c r="E4" s="28">
        <v>28.33</v>
      </c>
      <c r="F4" s="28">
        <v>28.04</v>
      </c>
      <c r="G4" s="28">
        <v>61.75</v>
      </c>
      <c r="H4" s="28">
        <v>81.510000000000005</v>
      </c>
      <c r="I4" s="28">
        <v>0</v>
      </c>
      <c r="J4" s="28">
        <v>0</v>
      </c>
      <c r="M4" s="4" t="s">
        <v>238</v>
      </c>
      <c r="S4" s="7"/>
      <c r="T4" s="7" t="s">
        <v>75</v>
      </c>
      <c r="U4" s="9">
        <v>1.05</v>
      </c>
    </row>
    <row r="5" spans="1:21" x14ac:dyDescent="0.25">
      <c r="A5" s="26" t="s">
        <v>10</v>
      </c>
      <c r="B5" s="26" t="s">
        <v>11</v>
      </c>
      <c r="C5" s="25">
        <v>134</v>
      </c>
      <c r="D5" s="27"/>
      <c r="E5" s="27">
        <v>0</v>
      </c>
      <c r="F5" s="27">
        <v>0</v>
      </c>
      <c r="G5" s="28">
        <v>31.35</v>
      </c>
      <c r="H5" s="28">
        <v>50.72</v>
      </c>
      <c r="I5" s="27">
        <v>0</v>
      </c>
      <c r="J5" s="27">
        <v>0</v>
      </c>
      <c r="M5" s="4" t="s">
        <v>239</v>
      </c>
      <c r="S5" s="7"/>
      <c r="T5" s="7" t="s">
        <v>76</v>
      </c>
      <c r="U5" s="9">
        <v>1.07</v>
      </c>
    </row>
    <row r="6" spans="1:21" x14ac:dyDescent="0.25">
      <c r="A6" s="26" t="s">
        <v>12</v>
      </c>
      <c r="B6" s="26" t="s">
        <v>13</v>
      </c>
      <c r="C6" s="25">
        <v>102</v>
      </c>
      <c r="D6" s="27"/>
      <c r="E6" s="28">
        <v>14.15</v>
      </c>
      <c r="F6" s="28">
        <v>20.32</v>
      </c>
      <c r="G6" s="28">
        <v>37.520000000000003</v>
      </c>
      <c r="H6" s="28">
        <v>36.11</v>
      </c>
      <c r="I6" s="28">
        <v>0</v>
      </c>
      <c r="J6" s="28">
        <v>0</v>
      </c>
      <c r="M6" s="4" t="s">
        <v>240</v>
      </c>
      <c r="S6" s="7" t="s">
        <v>77</v>
      </c>
      <c r="T6" s="7" t="s">
        <v>78</v>
      </c>
      <c r="U6" s="9">
        <v>0.95</v>
      </c>
    </row>
    <row r="7" spans="1:21" x14ac:dyDescent="0.25">
      <c r="A7" s="26" t="s">
        <v>14</v>
      </c>
      <c r="B7" s="26" t="s">
        <v>15</v>
      </c>
      <c r="C7" s="25">
        <v>4</v>
      </c>
      <c r="D7" s="27"/>
      <c r="E7" s="28">
        <v>0</v>
      </c>
      <c r="F7" s="28">
        <v>0</v>
      </c>
      <c r="G7" s="28">
        <v>24.02</v>
      </c>
      <c r="H7" s="28">
        <v>0</v>
      </c>
      <c r="I7" s="28">
        <v>0</v>
      </c>
      <c r="J7" s="28">
        <v>23.74</v>
      </c>
      <c r="M7" s="4" t="s">
        <v>241</v>
      </c>
      <c r="S7" s="7"/>
      <c r="T7" s="7" t="s">
        <v>79</v>
      </c>
      <c r="U7" s="9">
        <v>1</v>
      </c>
    </row>
    <row r="8" spans="1:21" x14ac:dyDescent="0.25">
      <c r="A8" s="3"/>
      <c r="B8" s="3"/>
      <c r="C8" s="3"/>
      <c r="E8" s="5" t="s">
        <v>16</v>
      </c>
      <c r="F8" s="5" t="s">
        <v>17</v>
      </c>
      <c r="G8" s="5" t="s">
        <v>18</v>
      </c>
      <c r="H8" s="5" t="s">
        <v>19</v>
      </c>
      <c r="I8" s="5" t="s">
        <v>20</v>
      </c>
      <c r="J8" s="5" t="s">
        <v>21</v>
      </c>
      <c r="S8" s="7"/>
      <c r="T8" s="7" t="s">
        <v>80</v>
      </c>
      <c r="U8" s="9">
        <v>1.05</v>
      </c>
    </row>
    <row r="9" spans="1:21" x14ac:dyDescent="0.25">
      <c r="S9" s="7"/>
      <c r="T9" s="7" t="s">
        <v>81</v>
      </c>
      <c r="U9" s="9">
        <v>1.08</v>
      </c>
    </row>
    <row r="10" spans="1:21" ht="15.75" thickBot="1" x14ac:dyDescent="0.3">
      <c r="S10" s="7"/>
      <c r="T10" s="7" t="s">
        <v>82</v>
      </c>
      <c r="U10" s="9">
        <v>1.8</v>
      </c>
    </row>
    <row r="11" spans="1:21" ht="17.25" thickTop="1" thickBot="1" x14ac:dyDescent="0.3">
      <c r="A11" s="46" t="s">
        <v>236</v>
      </c>
      <c r="B11" s="47"/>
      <c r="C11" s="47"/>
      <c r="D11" s="48"/>
      <c r="E11" s="39">
        <v>165</v>
      </c>
      <c r="S11" s="7" t="s">
        <v>83</v>
      </c>
      <c r="T11" s="7" t="s">
        <v>84</v>
      </c>
      <c r="U11" s="9">
        <v>1.5</v>
      </c>
    </row>
    <row r="12" spans="1:21" ht="15.75" thickTop="1" x14ac:dyDescent="0.25">
      <c r="C12" s="1" t="s">
        <v>22</v>
      </c>
      <c r="E12" s="1">
        <f>1/E11*(C3*E3+C4*E4+C5*E5+C6*E6+C7*E7)</f>
        <v>15.547393939393938</v>
      </c>
      <c r="F12" s="1">
        <f>1/E11*(C3*F3+C4*F4+C5*F5+C6*F6+C7*F7)</f>
        <v>21.200242424242425</v>
      </c>
      <c r="G12" s="1">
        <f>1/E11*(C3*G3+C4*G4+C5*G5+C6*G6+C7*G7)</f>
        <v>62.270060606060611</v>
      </c>
      <c r="H12" s="1">
        <f>1/E11*(C3*H3+C4*H4+C5*H5+C6*H6+C7*H7)</f>
        <v>78.653333333333322</v>
      </c>
      <c r="I12" s="1">
        <f>1/E11*(C3*I3+C4*I4+C5*I5+C6*I6+C7*I7)</f>
        <v>6.4698181818181819</v>
      </c>
      <c r="J12" s="1">
        <f>1/E11*(C3*J3+C4*J4+C5*J5+C6*J6+C7*J7)</f>
        <v>1.2075151515151517</v>
      </c>
      <c r="S12" s="7"/>
      <c r="T12" s="7" t="s">
        <v>85</v>
      </c>
      <c r="U12" s="9">
        <v>1</v>
      </c>
    </row>
    <row r="13" spans="1:21" x14ac:dyDescent="0.25">
      <c r="C13" s="1" t="s">
        <v>23</v>
      </c>
      <c r="E13" s="1">
        <f>J31*J36*J37</f>
        <v>1.1877000000000002</v>
      </c>
      <c r="F13" s="1">
        <f>J21*J22*J24*J25*J26*J27*J28*J29*J36*J37*J38</f>
        <v>1.3036195200000003</v>
      </c>
      <c r="G13" s="1">
        <f>J21*J22*J24*J25*J26*J27*J28*J29*J31*J32*J33*J34*J35*J36*J37*J38</f>
        <v>1.4796811578931202</v>
      </c>
      <c r="H13" s="1">
        <f>J21*J22*J24*J25*J26*J27*J28*J29*J30*J32*J33*J34*J35*J36*J37*J38</f>
        <v>1.3828795868160004</v>
      </c>
      <c r="I13" s="1">
        <f>J21*J22*J24*J25*J26*J27*J28*J29*J30*J31*J32*J33*J34*J35*J36*J37*J38</f>
        <v>1.4796811578931202</v>
      </c>
      <c r="J13" s="1">
        <f>J21*J22*J31*J36*J38</f>
        <v>1.1449</v>
      </c>
      <c r="S13" s="7"/>
      <c r="T13" s="7" t="s">
        <v>86</v>
      </c>
      <c r="U13" s="9">
        <v>0.95</v>
      </c>
    </row>
    <row r="14" spans="1:21" ht="15.75" x14ac:dyDescent="0.25">
      <c r="C14" s="1" t="s">
        <v>24</v>
      </c>
      <c r="E14" s="1">
        <f t="shared" ref="E14:J14" si="0">E12*E13</f>
        <v>18.465639781818183</v>
      </c>
      <c r="F14" s="1">
        <f t="shared" si="0"/>
        <v>27.637049852974553</v>
      </c>
      <c r="G14" s="1">
        <f t="shared" si="0"/>
        <v>92.139835379650535</v>
      </c>
      <c r="H14" s="1">
        <f t="shared" si="0"/>
        <v>108.76808910170114</v>
      </c>
      <c r="I14" s="1">
        <f t="shared" si="0"/>
        <v>9.5732680586306884</v>
      </c>
      <c r="J14" s="1">
        <f t="shared" si="0"/>
        <v>1.3824840969696972</v>
      </c>
      <c r="K14" s="20">
        <f>ROUND(SUM(E14:J14),0)</f>
        <v>258</v>
      </c>
      <c r="M14" s="2" t="s">
        <v>25</v>
      </c>
      <c r="S14" s="7" t="s">
        <v>87</v>
      </c>
      <c r="T14" s="7" t="s">
        <v>88</v>
      </c>
      <c r="U14" s="9">
        <v>1.05</v>
      </c>
    </row>
    <row r="15" spans="1:21" x14ac:dyDescent="0.25">
      <c r="K15" s="2" t="s">
        <v>26</v>
      </c>
      <c r="S15" s="7"/>
      <c r="T15" s="7" t="s">
        <v>89</v>
      </c>
      <c r="U15" s="9">
        <v>1</v>
      </c>
    </row>
    <row r="16" spans="1:21" x14ac:dyDescent="0.25">
      <c r="S16" s="7"/>
      <c r="T16" s="7" t="s">
        <v>90</v>
      </c>
      <c r="U16" s="9">
        <v>0.98</v>
      </c>
    </row>
    <row r="17" spans="1:21" x14ac:dyDescent="0.25">
      <c r="A17" s="2" t="s">
        <v>45</v>
      </c>
      <c r="S17" s="7" t="s">
        <v>91</v>
      </c>
      <c r="T17" s="7" t="s">
        <v>92</v>
      </c>
      <c r="U17" s="9">
        <v>1.3</v>
      </c>
    </row>
    <row r="18" spans="1:21" ht="15" customHeight="1" x14ac:dyDescent="0.25">
      <c r="A18" s="81" t="s">
        <v>46</v>
      </c>
      <c r="B18" s="81"/>
      <c r="C18" s="81" t="s">
        <v>47</v>
      </c>
      <c r="D18" s="81"/>
      <c r="E18" s="81"/>
      <c r="F18" s="81" t="s">
        <v>48</v>
      </c>
      <c r="G18" s="81"/>
      <c r="H18" s="81"/>
      <c r="I18" s="87" t="s">
        <v>146</v>
      </c>
      <c r="J18" s="84" t="s">
        <v>49</v>
      </c>
      <c r="S18" s="7"/>
      <c r="T18" s="7" t="s">
        <v>93</v>
      </c>
      <c r="U18" s="9">
        <v>1</v>
      </c>
    </row>
    <row r="19" spans="1:21" x14ac:dyDescent="0.25">
      <c r="A19" s="81"/>
      <c r="B19" s="81"/>
      <c r="C19" s="81"/>
      <c r="D19" s="81"/>
      <c r="E19" s="81"/>
      <c r="F19" s="81"/>
      <c r="G19" s="81"/>
      <c r="H19" s="81"/>
      <c r="I19" s="88"/>
      <c r="J19" s="85"/>
      <c r="S19" s="7"/>
      <c r="T19" s="7" t="s">
        <v>94</v>
      </c>
      <c r="U19" s="9">
        <v>0.97</v>
      </c>
    </row>
    <row r="20" spans="1:21" x14ac:dyDescent="0.25">
      <c r="A20" s="81"/>
      <c r="B20" s="81"/>
      <c r="C20" s="81"/>
      <c r="D20" s="81"/>
      <c r="E20" s="81"/>
      <c r="F20" s="81"/>
      <c r="G20" s="81"/>
      <c r="H20" s="81"/>
      <c r="I20" s="88"/>
      <c r="J20" s="86"/>
      <c r="S20" s="7" t="s">
        <v>95</v>
      </c>
      <c r="T20" s="7" t="s">
        <v>96</v>
      </c>
      <c r="U20" s="9">
        <v>1</v>
      </c>
    </row>
    <row r="21" spans="1:21" ht="15.75" x14ac:dyDescent="0.25">
      <c r="A21" s="79" t="s">
        <v>50</v>
      </c>
      <c r="B21" s="80"/>
      <c r="C21" s="82" t="s">
        <v>51</v>
      </c>
      <c r="D21" s="83"/>
      <c r="E21" s="83"/>
      <c r="F21" s="76" t="s">
        <v>76</v>
      </c>
      <c r="G21" s="76"/>
      <c r="H21" s="76"/>
      <c r="I21" s="11" t="s">
        <v>27</v>
      </c>
      <c r="J21" s="36">
        <f>VLOOKUP(F21,T2:U5,2,0)</f>
        <v>1.07</v>
      </c>
      <c r="S21" s="7"/>
      <c r="T21" s="7" t="s">
        <v>97</v>
      </c>
      <c r="U21" s="9">
        <v>1.08</v>
      </c>
    </row>
    <row r="22" spans="1:21" ht="15.75" x14ac:dyDescent="0.25">
      <c r="A22" s="80"/>
      <c r="B22" s="80"/>
      <c r="C22" s="82" t="s">
        <v>52</v>
      </c>
      <c r="D22" s="83"/>
      <c r="E22" s="83"/>
      <c r="F22" s="76" t="s">
        <v>79</v>
      </c>
      <c r="G22" s="76"/>
      <c r="H22" s="76"/>
      <c r="I22" s="11" t="s">
        <v>28</v>
      </c>
      <c r="J22" s="36">
        <f>VLOOKUP(F22,T6:U10,2,0)</f>
        <v>1</v>
      </c>
      <c r="S22" s="7"/>
      <c r="T22" s="7" t="s">
        <v>98</v>
      </c>
      <c r="U22" s="9">
        <v>1.1299999999999999</v>
      </c>
    </row>
    <row r="23" spans="1:21" ht="15.75" x14ac:dyDescent="0.25">
      <c r="A23" s="80"/>
      <c r="B23" s="80"/>
      <c r="C23" s="82" t="s">
        <v>53</v>
      </c>
      <c r="D23" s="83"/>
      <c r="E23" s="83"/>
      <c r="F23" s="76" t="s">
        <v>84</v>
      </c>
      <c r="G23" s="76"/>
      <c r="H23" s="76"/>
      <c r="I23" s="11" t="s">
        <v>29</v>
      </c>
      <c r="J23" s="36">
        <f>VLOOKUP(F23,T11:U13,2,0)</f>
        <v>1.5</v>
      </c>
      <c r="S23" s="7" t="s">
        <v>99</v>
      </c>
      <c r="T23" s="7" t="s">
        <v>100</v>
      </c>
      <c r="U23" s="9">
        <v>1.1499999999999999</v>
      </c>
    </row>
    <row r="24" spans="1:21" ht="15.75" x14ac:dyDescent="0.25">
      <c r="A24" s="80"/>
      <c r="B24" s="80"/>
      <c r="C24" s="82" t="s">
        <v>55</v>
      </c>
      <c r="D24" s="83"/>
      <c r="E24" s="83"/>
      <c r="F24" s="76" t="s">
        <v>90</v>
      </c>
      <c r="G24" s="76"/>
      <c r="H24" s="76"/>
      <c r="I24" s="11" t="s">
        <v>30</v>
      </c>
      <c r="J24" s="36">
        <f>VLOOKUP(F24,T14:U16,2,0)</f>
        <v>0.98</v>
      </c>
      <c r="K24" s="2"/>
      <c r="M24" s="2"/>
      <c r="S24" s="7"/>
      <c r="T24" s="7" t="s">
        <v>101</v>
      </c>
      <c r="U24" s="9">
        <v>1</v>
      </c>
    </row>
    <row r="25" spans="1:21" ht="15.75" x14ac:dyDescent="0.25">
      <c r="A25" s="80"/>
      <c r="B25" s="80"/>
      <c r="C25" s="82" t="s">
        <v>57</v>
      </c>
      <c r="D25" s="83"/>
      <c r="E25" s="83"/>
      <c r="F25" s="76" t="s">
        <v>93</v>
      </c>
      <c r="G25" s="76"/>
      <c r="H25" s="76"/>
      <c r="I25" s="11" t="s">
        <v>31</v>
      </c>
      <c r="J25" s="36">
        <f>VLOOKUP(F25,T17:U19,2,0)</f>
        <v>1</v>
      </c>
      <c r="S25" s="7"/>
      <c r="T25" s="7" t="s">
        <v>102</v>
      </c>
      <c r="U25" s="9">
        <v>0.92</v>
      </c>
    </row>
    <row r="26" spans="1:21" ht="15.75" x14ac:dyDescent="0.25">
      <c r="A26" s="80"/>
      <c r="B26" s="80"/>
      <c r="C26" s="82" t="s">
        <v>54</v>
      </c>
      <c r="D26" s="83"/>
      <c r="E26" s="83"/>
      <c r="F26" s="76" t="s">
        <v>96</v>
      </c>
      <c r="G26" s="76"/>
      <c r="H26" s="76"/>
      <c r="I26" s="11" t="s">
        <v>32</v>
      </c>
      <c r="J26" s="36">
        <f>VLOOKUP(F26,T20:U22,2,0)</f>
        <v>1</v>
      </c>
      <c r="S26" s="7" t="s">
        <v>103</v>
      </c>
      <c r="T26" s="7" t="s">
        <v>104</v>
      </c>
      <c r="U26" s="9">
        <v>1.1200000000000001</v>
      </c>
    </row>
    <row r="27" spans="1:21" ht="15.75" x14ac:dyDescent="0.25">
      <c r="A27" s="80"/>
      <c r="B27" s="80"/>
      <c r="C27" s="82" t="s">
        <v>56</v>
      </c>
      <c r="D27" s="83"/>
      <c r="E27" s="83"/>
      <c r="F27" s="76" t="s">
        <v>101</v>
      </c>
      <c r="G27" s="76"/>
      <c r="H27" s="76"/>
      <c r="I27" s="11" t="s">
        <v>33</v>
      </c>
      <c r="J27" s="36">
        <f>VLOOKUP(F27,T23:U25,2,0)</f>
        <v>1</v>
      </c>
      <c r="S27" s="7"/>
      <c r="T27" s="7" t="s">
        <v>105</v>
      </c>
      <c r="U27" s="9">
        <v>1</v>
      </c>
    </row>
    <row r="28" spans="1:21" ht="15" customHeight="1" x14ac:dyDescent="0.25">
      <c r="A28" s="80"/>
      <c r="B28" s="80"/>
      <c r="C28" s="82" t="s">
        <v>59</v>
      </c>
      <c r="D28" s="83"/>
      <c r="E28" s="83"/>
      <c r="F28" s="76" t="s">
        <v>104</v>
      </c>
      <c r="G28" s="76"/>
      <c r="H28" s="76"/>
      <c r="I28" s="11" t="s">
        <v>34</v>
      </c>
      <c r="J28" s="36">
        <f>VLOOKUP(F28,T26:U28,2,0)</f>
        <v>1.1200000000000001</v>
      </c>
      <c r="S28" s="7"/>
      <c r="T28" s="7" t="s">
        <v>106</v>
      </c>
      <c r="U28" s="9">
        <v>0.98</v>
      </c>
    </row>
    <row r="29" spans="1:21" ht="15" customHeight="1" x14ac:dyDescent="0.25">
      <c r="A29" s="80"/>
      <c r="B29" s="80"/>
      <c r="C29" s="82" t="s">
        <v>58</v>
      </c>
      <c r="D29" s="83"/>
      <c r="E29" s="83"/>
      <c r="F29" s="76" t="s">
        <v>109</v>
      </c>
      <c r="G29" s="76"/>
      <c r="H29" s="76"/>
      <c r="I29" s="11" t="s">
        <v>35</v>
      </c>
      <c r="J29" s="36">
        <f>VLOOKUP(F29,T29:U31,2,0)</f>
        <v>1</v>
      </c>
      <c r="S29" s="7" t="s">
        <v>107</v>
      </c>
      <c r="T29" s="7" t="s">
        <v>108</v>
      </c>
      <c r="U29" s="9">
        <v>1.21</v>
      </c>
    </row>
    <row r="30" spans="1:21" ht="15" customHeight="1" x14ac:dyDescent="0.25">
      <c r="A30" s="80"/>
      <c r="B30" s="80"/>
      <c r="C30" s="82" t="s">
        <v>60</v>
      </c>
      <c r="D30" s="83"/>
      <c r="E30" s="83"/>
      <c r="F30" s="76" t="s">
        <v>115</v>
      </c>
      <c r="G30" s="76"/>
      <c r="H30" s="76"/>
      <c r="I30" s="11" t="s">
        <v>36</v>
      </c>
      <c r="J30" s="36">
        <f>VLOOKUP(F30,T32:U35,2,0)</f>
        <v>1</v>
      </c>
      <c r="S30" s="7"/>
      <c r="T30" s="7" t="s">
        <v>109</v>
      </c>
      <c r="U30" s="9">
        <v>1</v>
      </c>
    </row>
    <row r="31" spans="1:21" ht="15.75" x14ac:dyDescent="0.25">
      <c r="A31" s="74" t="s">
        <v>61</v>
      </c>
      <c r="B31" s="75"/>
      <c r="C31" s="77" t="s">
        <v>62</v>
      </c>
      <c r="D31" s="78"/>
      <c r="E31" s="78"/>
      <c r="F31" s="76" t="s">
        <v>118</v>
      </c>
      <c r="G31" s="76"/>
      <c r="H31" s="76"/>
      <c r="I31" s="10" t="s">
        <v>37</v>
      </c>
      <c r="J31" s="36">
        <f>VLOOKUP(F31,T36:U41,2,0)</f>
        <v>1.07</v>
      </c>
      <c r="S31" s="7"/>
      <c r="T31" s="7" t="s">
        <v>110</v>
      </c>
      <c r="U31" s="9">
        <v>0.92</v>
      </c>
    </row>
    <row r="32" spans="1:21" ht="15.75" x14ac:dyDescent="0.25">
      <c r="A32" s="75"/>
      <c r="B32" s="75"/>
      <c r="C32" s="77" t="s">
        <v>63</v>
      </c>
      <c r="D32" s="78"/>
      <c r="E32" s="78"/>
      <c r="F32" s="76" t="s">
        <v>233</v>
      </c>
      <c r="G32" s="76"/>
      <c r="H32" s="76"/>
      <c r="I32" s="10" t="s">
        <v>38</v>
      </c>
      <c r="J32" s="36">
        <f>VLOOKUP(F32,T42:U43,2,0)</f>
        <v>1</v>
      </c>
      <c r="S32" s="7" t="s">
        <v>111</v>
      </c>
      <c r="T32" s="7" t="s">
        <v>112</v>
      </c>
      <c r="U32" s="9">
        <v>1.08</v>
      </c>
    </row>
    <row r="33" spans="1:21" ht="15.75" x14ac:dyDescent="0.25">
      <c r="A33" s="75"/>
      <c r="B33" s="75"/>
      <c r="C33" s="77" t="s">
        <v>234</v>
      </c>
      <c r="D33" s="78"/>
      <c r="E33" s="78"/>
      <c r="F33" s="76" t="s">
        <v>125</v>
      </c>
      <c r="G33" s="76"/>
      <c r="H33" s="76"/>
      <c r="I33" s="10" t="s">
        <v>39</v>
      </c>
      <c r="J33" s="36">
        <f>VLOOKUP(F33,T44:U45,2,0)</f>
        <v>1.04</v>
      </c>
      <c r="S33" s="7"/>
      <c r="T33" s="7" t="s">
        <v>113</v>
      </c>
      <c r="U33" s="9">
        <v>1.0900000000000001</v>
      </c>
    </row>
    <row r="34" spans="1:21" ht="15.75" x14ac:dyDescent="0.25">
      <c r="A34" s="75"/>
      <c r="B34" s="75"/>
      <c r="C34" s="77" t="s">
        <v>64</v>
      </c>
      <c r="D34" s="78"/>
      <c r="E34" s="78"/>
      <c r="F34" s="76" t="s">
        <v>124</v>
      </c>
      <c r="G34" s="76"/>
      <c r="H34" s="76"/>
      <c r="I34" s="10" t="s">
        <v>40</v>
      </c>
      <c r="J34" s="36">
        <f>VLOOKUP(F34,T46:U47,2,0)</f>
        <v>1</v>
      </c>
      <c r="S34" s="7"/>
      <c r="T34" s="7" t="s">
        <v>114</v>
      </c>
      <c r="U34" s="9">
        <v>1.07</v>
      </c>
    </row>
    <row r="35" spans="1:21" ht="15.75" x14ac:dyDescent="0.25">
      <c r="A35" s="75"/>
      <c r="B35" s="75"/>
      <c r="C35" s="77" t="s">
        <v>65</v>
      </c>
      <c r="D35" s="78"/>
      <c r="E35" s="78"/>
      <c r="F35" s="76" t="s">
        <v>130</v>
      </c>
      <c r="G35" s="76"/>
      <c r="H35" s="76"/>
      <c r="I35" s="10" t="s">
        <v>41</v>
      </c>
      <c r="J35" s="36">
        <f>VLOOKUP(F35,T48:U49,2,0)</f>
        <v>1.02</v>
      </c>
      <c r="S35" s="7"/>
      <c r="T35" s="7" t="s">
        <v>115</v>
      </c>
      <c r="U35" s="9">
        <v>1</v>
      </c>
    </row>
    <row r="36" spans="1:21" ht="15.75" x14ac:dyDescent="0.25">
      <c r="A36" s="75"/>
      <c r="B36" s="75"/>
      <c r="C36" s="77" t="s">
        <v>67</v>
      </c>
      <c r="D36" s="78"/>
      <c r="E36" s="78"/>
      <c r="F36" s="76" t="s">
        <v>135</v>
      </c>
      <c r="G36" s="76"/>
      <c r="H36" s="76"/>
      <c r="I36" s="10" t="s">
        <v>42</v>
      </c>
      <c r="J36" s="36">
        <f>VLOOKUP(F36,T50:U53,2,0)</f>
        <v>1</v>
      </c>
      <c r="S36" s="7" t="s">
        <v>116</v>
      </c>
      <c r="T36" s="7" t="s">
        <v>117</v>
      </c>
      <c r="U36" s="9">
        <v>1.1200000000000001</v>
      </c>
    </row>
    <row r="37" spans="1:21" ht="15.75" x14ac:dyDescent="0.25">
      <c r="A37" s="75"/>
      <c r="B37" s="75"/>
      <c r="C37" s="77" t="s">
        <v>66</v>
      </c>
      <c r="D37" s="78"/>
      <c r="E37" s="78"/>
      <c r="F37" s="76" t="s">
        <v>139</v>
      </c>
      <c r="G37" s="76"/>
      <c r="H37" s="76"/>
      <c r="I37" s="10" t="s">
        <v>43</v>
      </c>
      <c r="J37" s="36">
        <f>VLOOKUP(F37,T54:U57,2,0)</f>
        <v>1.1100000000000001</v>
      </c>
      <c r="S37" s="7"/>
      <c r="T37" s="7" t="s">
        <v>118</v>
      </c>
      <c r="U37" s="9">
        <v>1.07</v>
      </c>
    </row>
    <row r="38" spans="1:21" ht="15.75" x14ac:dyDescent="0.25">
      <c r="A38" s="79" t="s">
        <v>231</v>
      </c>
      <c r="B38" s="80"/>
      <c r="C38" s="82" t="s">
        <v>68</v>
      </c>
      <c r="D38" s="83"/>
      <c r="E38" s="83"/>
      <c r="F38" s="76" t="s">
        <v>69</v>
      </c>
      <c r="G38" s="76"/>
      <c r="H38" s="76"/>
      <c r="I38" s="11" t="s">
        <v>44</v>
      </c>
      <c r="J38" s="36">
        <f>VLOOKUP(F38,T58:U63,2,0)</f>
        <v>1</v>
      </c>
      <c r="S38" s="7"/>
      <c r="T38" s="7" t="s">
        <v>119</v>
      </c>
      <c r="U38" s="9">
        <v>1</v>
      </c>
    </row>
    <row r="39" spans="1:21" x14ac:dyDescent="0.25">
      <c r="S39" s="7"/>
      <c r="T39" s="7" t="s">
        <v>120</v>
      </c>
      <c r="U39" s="9">
        <v>1.1399999999999999</v>
      </c>
    </row>
    <row r="40" spans="1:21" x14ac:dyDescent="0.25">
      <c r="S40" s="7"/>
      <c r="T40" s="7" t="s">
        <v>121</v>
      </c>
      <c r="U40" s="9">
        <v>1.06</v>
      </c>
    </row>
    <row r="41" spans="1:21" x14ac:dyDescent="0.25">
      <c r="A41" s="2" t="s">
        <v>147</v>
      </c>
      <c r="I41" s="2" t="s">
        <v>156</v>
      </c>
      <c r="S41" s="7"/>
      <c r="T41" s="7" t="s">
        <v>122</v>
      </c>
      <c r="U41" s="9">
        <v>1.0900000000000001</v>
      </c>
    </row>
    <row r="42" spans="1:21" ht="15" customHeight="1" x14ac:dyDescent="0.25">
      <c r="A42" s="73" t="s">
        <v>149</v>
      </c>
      <c r="B42" s="73"/>
      <c r="C42" s="73" t="s">
        <v>148</v>
      </c>
      <c r="D42" s="73"/>
      <c r="E42" s="73" t="s">
        <v>150</v>
      </c>
      <c r="F42" s="73"/>
      <c r="G42" s="73"/>
      <c r="I42" s="8" t="s">
        <v>151</v>
      </c>
      <c r="J42" s="15">
        <f xml:space="preserve"> mim_month(K14)</f>
        <v>5</v>
      </c>
      <c r="S42" s="7" t="s">
        <v>123</v>
      </c>
      <c r="T42" s="7" t="s">
        <v>232</v>
      </c>
      <c r="U42" s="9">
        <v>0.99</v>
      </c>
    </row>
    <row r="43" spans="1:21" ht="15" customHeight="1" x14ac:dyDescent="0.25">
      <c r="A43" s="73"/>
      <c r="B43" s="73"/>
      <c r="C43" s="73"/>
      <c r="D43" s="73"/>
      <c r="E43" s="73"/>
      <c r="F43" s="73"/>
      <c r="G43" s="73"/>
      <c r="I43" s="8" t="s">
        <v>152</v>
      </c>
      <c r="J43" s="15">
        <f xml:space="preserve"> max_month(K14)</f>
        <v>15</v>
      </c>
      <c r="S43" s="7"/>
      <c r="T43" s="7" t="s">
        <v>233</v>
      </c>
      <c r="U43" s="9">
        <v>1</v>
      </c>
    </row>
    <row r="44" spans="1:21" x14ac:dyDescent="0.25">
      <c r="A44" s="71">
        <v>5</v>
      </c>
      <c r="B44" s="71"/>
      <c r="C44" s="69">
        <v>30</v>
      </c>
      <c r="D44" s="70"/>
      <c r="E44" s="72">
        <v>1</v>
      </c>
      <c r="F44" s="72"/>
      <c r="G44" s="72"/>
      <c r="J44" s="13"/>
      <c r="S44" s="7" t="s">
        <v>126</v>
      </c>
      <c r="T44" s="7" t="s">
        <v>124</v>
      </c>
      <c r="U44" s="9">
        <v>1</v>
      </c>
    </row>
    <row r="45" spans="1:21" ht="15.75" x14ac:dyDescent="0.25">
      <c r="A45" s="71">
        <v>10</v>
      </c>
      <c r="B45" s="71"/>
      <c r="C45" s="69">
        <v>80</v>
      </c>
      <c r="D45" s="70"/>
      <c r="E45" s="72">
        <v>2</v>
      </c>
      <c r="F45" s="72"/>
      <c r="G45" s="72"/>
      <c r="I45" s="8" t="s">
        <v>153</v>
      </c>
      <c r="J45" s="15">
        <f>(J42+J43)/2</f>
        <v>10</v>
      </c>
      <c r="L45" s="2" t="s">
        <v>157</v>
      </c>
      <c r="S45" s="7"/>
      <c r="T45" s="7" t="s">
        <v>125</v>
      </c>
      <c r="U45" s="7">
        <v>1.04</v>
      </c>
    </row>
    <row r="46" spans="1:21" x14ac:dyDescent="0.25">
      <c r="A46" s="71">
        <v>17</v>
      </c>
      <c r="B46" s="71"/>
      <c r="C46" s="69">
        <v>140</v>
      </c>
      <c r="D46" s="70"/>
      <c r="E46" s="72">
        <v>3</v>
      </c>
      <c r="F46" s="72"/>
      <c r="G46" s="72"/>
      <c r="S46" s="7" t="s">
        <v>127</v>
      </c>
      <c r="T46" s="7" t="s">
        <v>124</v>
      </c>
      <c r="U46" s="9">
        <v>1</v>
      </c>
    </row>
    <row r="47" spans="1:21" x14ac:dyDescent="0.25">
      <c r="A47" s="71">
        <v>26</v>
      </c>
      <c r="B47" s="71"/>
      <c r="C47" s="69">
        <v>210</v>
      </c>
      <c r="D47" s="70"/>
      <c r="E47" s="72">
        <v>4</v>
      </c>
      <c r="F47" s="72"/>
      <c r="G47" s="72"/>
      <c r="S47" s="7"/>
      <c r="T47" s="7" t="s">
        <v>125</v>
      </c>
      <c r="U47" s="9">
        <v>1.01</v>
      </c>
    </row>
    <row r="48" spans="1:21" x14ac:dyDescent="0.25">
      <c r="A48" s="71">
        <v>37</v>
      </c>
      <c r="B48" s="71"/>
      <c r="C48" s="69">
        <v>280</v>
      </c>
      <c r="D48" s="70"/>
      <c r="E48" s="72">
        <v>5</v>
      </c>
      <c r="F48" s="72"/>
      <c r="G48" s="72"/>
      <c r="S48" s="7" t="s">
        <v>128</v>
      </c>
      <c r="T48" s="7" t="s">
        <v>129</v>
      </c>
      <c r="U48" s="9">
        <v>1</v>
      </c>
    </row>
    <row r="49" spans="1:21" x14ac:dyDescent="0.25">
      <c r="A49" s="71">
        <v>50</v>
      </c>
      <c r="B49" s="71"/>
      <c r="C49" s="69">
        <v>340</v>
      </c>
      <c r="D49" s="70"/>
      <c r="E49" s="72">
        <v>6</v>
      </c>
      <c r="F49" s="72"/>
      <c r="G49" s="72"/>
      <c r="S49" s="7"/>
      <c r="T49" s="7" t="s">
        <v>130</v>
      </c>
      <c r="U49" s="9">
        <v>1.02</v>
      </c>
    </row>
    <row r="50" spans="1:21" x14ac:dyDescent="0.25">
      <c r="A50" s="71">
        <v>65</v>
      </c>
      <c r="B50" s="71"/>
      <c r="C50" s="69">
        <v>400</v>
      </c>
      <c r="D50" s="70"/>
      <c r="E50" s="72">
        <v>7</v>
      </c>
      <c r="F50" s="72"/>
      <c r="G50" s="72"/>
      <c r="S50" s="7" t="s">
        <v>131</v>
      </c>
      <c r="T50" s="7" t="s">
        <v>132</v>
      </c>
      <c r="U50" s="9">
        <v>1.18</v>
      </c>
    </row>
    <row r="51" spans="1:21" x14ac:dyDescent="0.25">
      <c r="A51" s="71">
        <v>80</v>
      </c>
      <c r="B51" s="71"/>
      <c r="C51" s="69">
        <v>450</v>
      </c>
      <c r="D51" s="70"/>
      <c r="E51" s="72">
        <v>8</v>
      </c>
      <c r="F51" s="72"/>
      <c r="G51" s="72"/>
      <c r="S51" s="7"/>
      <c r="T51" s="7" t="s">
        <v>133</v>
      </c>
      <c r="U51" s="9">
        <v>1.1599999999999999</v>
      </c>
    </row>
    <row r="52" spans="1:21" x14ac:dyDescent="0.25">
      <c r="A52" s="71">
        <v>100</v>
      </c>
      <c r="B52" s="71"/>
      <c r="C52" s="69">
        <v>500</v>
      </c>
      <c r="D52" s="70"/>
      <c r="E52" s="72">
        <v>9</v>
      </c>
      <c r="F52" s="72"/>
      <c r="G52" s="72"/>
      <c r="S52" s="7"/>
      <c r="T52" s="7" t="s">
        <v>134</v>
      </c>
      <c r="U52" s="9">
        <v>1.1299999999999999</v>
      </c>
    </row>
    <row r="53" spans="1:21" x14ac:dyDescent="0.25">
      <c r="A53" s="71">
        <v>120</v>
      </c>
      <c r="B53" s="71"/>
      <c r="C53" s="69">
        <v>550</v>
      </c>
      <c r="D53" s="70"/>
      <c r="E53" s="72">
        <v>10</v>
      </c>
      <c r="F53" s="72"/>
      <c r="G53" s="72"/>
      <c r="S53" s="7"/>
      <c r="T53" s="7" t="s">
        <v>135</v>
      </c>
      <c r="U53" s="9">
        <v>1</v>
      </c>
    </row>
    <row r="54" spans="1:21" x14ac:dyDescent="0.25">
      <c r="A54" s="71">
        <v>140</v>
      </c>
      <c r="B54" s="71"/>
      <c r="C54" s="69">
        <v>610</v>
      </c>
      <c r="D54" s="70"/>
      <c r="E54" s="72">
        <v>11</v>
      </c>
      <c r="F54" s="72"/>
      <c r="G54" s="72"/>
      <c r="S54" s="7" t="s">
        <v>136</v>
      </c>
      <c r="T54" s="7" t="s">
        <v>137</v>
      </c>
      <c r="U54" s="9">
        <v>0.99</v>
      </c>
    </row>
    <row r="55" spans="1:21" x14ac:dyDescent="0.25">
      <c r="A55" s="71">
        <v>160</v>
      </c>
      <c r="B55" s="71"/>
      <c r="C55" s="69">
        <v>670</v>
      </c>
      <c r="D55" s="70"/>
      <c r="E55" s="72">
        <v>12</v>
      </c>
      <c r="F55" s="72"/>
      <c r="G55" s="72"/>
      <c r="J55"/>
      <c r="K55"/>
      <c r="L55"/>
      <c r="S55" s="7"/>
      <c r="T55" s="7" t="s">
        <v>138</v>
      </c>
      <c r="U55" s="9">
        <v>1</v>
      </c>
    </row>
    <row r="56" spans="1:21" x14ac:dyDescent="0.25">
      <c r="A56" s="71">
        <v>180</v>
      </c>
      <c r="B56" s="71"/>
      <c r="C56" s="69">
        <v>720</v>
      </c>
      <c r="D56" s="70"/>
      <c r="E56" s="72">
        <v>13</v>
      </c>
      <c r="F56" s="72"/>
      <c r="G56" s="72"/>
      <c r="S56" s="7"/>
      <c r="T56" s="7" t="s">
        <v>139</v>
      </c>
      <c r="U56" s="9">
        <v>1.1100000000000001</v>
      </c>
    </row>
    <row r="57" spans="1:21" x14ac:dyDescent="0.25">
      <c r="A57" s="71">
        <v>200</v>
      </c>
      <c r="B57" s="71"/>
      <c r="C57" s="69">
        <v>770</v>
      </c>
      <c r="D57" s="70"/>
      <c r="E57" s="72">
        <v>14</v>
      </c>
      <c r="F57" s="72"/>
      <c r="G57" s="72"/>
      <c r="S57" s="7"/>
      <c r="T57" s="7" t="s">
        <v>140</v>
      </c>
      <c r="U57" s="9">
        <v>1.0900000000000001</v>
      </c>
    </row>
    <row r="58" spans="1:21" x14ac:dyDescent="0.25">
      <c r="A58" s="71">
        <v>230</v>
      </c>
      <c r="B58" s="71"/>
      <c r="C58" s="69">
        <v>820</v>
      </c>
      <c r="D58" s="70"/>
      <c r="E58" s="72">
        <v>15</v>
      </c>
      <c r="F58" s="72"/>
      <c r="G58" s="72"/>
      <c r="S58" s="7" t="s">
        <v>141</v>
      </c>
      <c r="T58" s="7" t="s">
        <v>69</v>
      </c>
      <c r="U58" s="9">
        <v>1</v>
      </c>
    </row>
    <row r="59" spans="1:21" x14ac:dyDescent="0.25">
      <c r="A59" s="71">
        <v>260</v>
      </c>
      <c r="B59" s="71"/>
      <c r="C59" s="69">
        <v>870</v>
      </c>
      <c r="D59" s="70"/>
      <c r="E59" s="72">
        <v>16</v>
      </c>
      <c r="F59" s="72"/>
      <c r="G59" s="72"/>
      <c r="S59" s="7"/>
      <c r="T59" s="7" t="s">
        <v>142</v>
      </c>
      <c r="U59" s="9">
        <v>1</v>
      </c>
    </row>
    <row r="60" spans="1:21" x14ac:dyDescent="0.25">
      <c r="A60" s="71">
        <v>290</v>
      </c>
      <c r="B60" s="71"/>
      <c r="C60" s="69">
        <v>930</v>
      </c>
      <c r="D60" s="70"/>
      <c r="E60" s="72">
        <v>17</v>
      </c>
      <c r="F60" s="72"/>
      <c r="G60" s="72"/>
      <c r="S60" s="7"/>
      <c r="T60" s="7" t="s">
        <v>143</v>
      </c>
      <c r="U60" s="9">
        <v>1.08</v>
      </c>
    </row>
    <row r="61" spans="1:21" x14ac:dyDescent="0.25">
      <c r="A61" s="71">
        <v>330</v>
      </c>
      <c r="B61" s="71"/>
      <c r="C61" s="69">
        <v>990</v>
      </c>
      <c r="D61" s="70"/>
      <c r="E61" s="72">
        <v>18</v>
      </c>
      <c r="F61" s="72"/>
      <c r="G61" s="72"/>
      <c r="S61" s="7"/>
      <c r="T61" s="7" t="s">
        <v>144</v>
      </c>
      <c r="U61" s="9">
        <v>1.0900000000000001</v>
      </c>
    </row>
    <row r="62" spans="1:21" x14ac:dyDescent="0.25">
      <c r="A62" s="71">
        <v>370</v>
      </c>
      <c r="B62" s="71"/>
      <c r="C62" s="69">
        <v>1040</v>
      </c>
      <c r="D62" s="70"/>
      <c r="E62" s="72">
        <v>19</v>
      </c>
      <c r="F62" s="72"/>
      <c r="G62" s="72"/>
      <c r="S62" s="7"/>
      <c r="T62" s="7" t="s">
        <v>70</v>
      </c>
      <c r="U62" s="9">
        <v>0.95</v>
      </c>
    </row>
    <row r="63" spans="1:21" x14ac:dyDescent="0.25">
      <c r="A63" s="71">
        <v>420</v>
      </c>
      <c r="B63" s="71"/>
      <c r="C63" s="69">
        <v>1090</v>
      </c>
      <c r="D63" s="70"/>
      <c r="E63" s="72">
        <v>20</v>
      </c>
      <c r="F63" s="72"/>
      <c r="G63" s="72"/>
      <c r="S63" s="7"/>
      <c r="T63" s="7" t="s">
        <v>145</v>
      </c>
      <c r="U63" s="9">
        <v>1.03</v>
      </c>
    </row>
    <row r="64" spans="1:21" x14ac:dyDescent="0.25">
      <c r="A64" s="71">
        <v>470</v>
      </c>
      <c r="B64" s="71"/>
      <c r="C64" s="69">
        <v>1150</v>
      </c>
      <c r="D64" s="70"/>
      <c r="E64" s="72">
        <v>21</v>
      </c>
      <c r="F64" s="72"/>
      <c r="G64" s="72"/>
    </row>
    <row r="65" spans="1:7" x14ac:dyDescent="0.25">
      <c r="A65" s="71">
        <v>530</v>
      </c>
      <c r="B65" s="71"/>
      <c r="C65" s="69">
        <v>1200</v>
      </c>
      <c r="D65" s="70"/>
      <c r="E65" s="72">
        <v>22</v>
      </c>
      <c r="F65" s="72"/>
      <c r="G65" s="72"/>
    </row>
    <row r="66" spans="1:7" x14ac:dyDescent="0.25">
      <c r="A66" s="71">
        <v>600</v>
      </c>
      <c r="B66" s="71"/>
      <c r="C66" s="69">
        <v>1250</v>
      </c>
      <c r="D66" s="70"/>
      <c r="E66" s="72">
        <v>23</v>
      </c>
      <c r="F66" s="72"/>
      <c r="G66" s="72"/>
    </row>
    <row r="67" spans="1:7" x14ac:dyDescent="0.25">
      <c r="A67" s="71">
        <v>670</v>
      </c>
      <c r="B67" s="71"/>
      <c r="C67" s="69">
        <v>1300</v>
      </c>
      <c r="D67" s="70"/>
      <c r="E67" s="72">
        <v>24</v>
      </c>
      <c r="F67" s="72"/>
      <c r="G67" s="72"/>
    </row>
    <row r="68" spans="1:7" x14ac:dyDescent="0.25">
      <c r="A68" s="71">
        <v>750</v>
      </c>
      <c r="B68" s="71"/>
      <c r="C68" s="69">
        <v>1350</v>
      </c>
      <c r="D68" s="70"/>
      <c r="E68" s="72">
        <v>25</v>
      </c>
      <c r="F68" s="72"/>
      <c r="G68" s="72"/>
    </row>
    <row r="69" spans="1:7" x14ac:dyDescent="0.25">
      <c r="A69" s="71">
        <v>830</v>
      </c>
      <c r="B69" s="71"/>
      <c r="C69" s="69">
        <v>1400</v>
      </c>
      <c r="D69" s="70"/>
      <c r="E69" s="72">
        <v>26</v>
      </c>
      <c r="F69" s="72"/>
      <c r="G69" s="72"/>
    </row>
    <row r="70" spans="1:7" x14ac:dyDescent="0.25">
      <c r="A70" s="71">
        <v>900</v>
      </c>
      <c r="B70" s="71"/>
      <c r="C70" s="69">
        <v>1450</v>
      </c>
      <c r="D70" s="70"/>
      <c r="E70" s="72">
        <v>27</v>
      </c>
      <c r="F70" s="72"/>
      <c r="G70" s="72"/>
    </row>
    <row r="71" spans="1:7" x14ac:dyDescent="0.25">
      <c r="A71" s="71">
        <v>970</v>
      </c>
      <c r="B71" s="71"/>
      <c r="C71" s="69">
        <v>1500</v>
      </c>
      <c r="D71" s="70"/>
      <c r="E71" s="72">
        <v>28</v>
      </c>
      <c r="F71" s="72"/>
      <c r="G71" s="72"/>
    </row>
    <row r="72" spans="1:7" x14ac:dyDescent="0.25">
      <c r="A72" s="71">
        <v>1150</v>
      </c>
      <c r="B72" s="71"/>
      <c r="C72" s="69">
        <v>1550</v>
      </c>
      <c r="D72" s="70"/>
      <c r="E72" s="72">
        <v>29</v>
      </c>
      <c r="F72" s="72"/>
      <c r="G72" s="72"/>
    </row>
    <row r="73" spans="1:7" x14ac:dyDescent="0.25">
      <c r="A73" s="71">
        <v>1230</v>
      </c>
      <c r="B73" s="71"/>
      <c r="C73" s="69">
        <v>1600</v>
      </c>
      <c r="D73" s="70"/>
      <c r="E73" s="72">
        <v>30</v>
      </c>
      <c r="F73" s="72"/>
      <c r="G73" s="72"/>
    </row>
    <row r="74" spans="1:7" x14ac:dyDescent="0.25">
      <c r="A74" s="71">
        <v>1310</v>
      </c>
      <c r="B74" s="71"/>
      <c r="C74" s="69">
        <v>1660</v>
      </c>
      <c r="D74" s="70"/>
      <c r="E74" s="72">
        <v>31</v>
      </c>
      <c r="F74" s="72"/>
      <c r="G74" s="72"/>
    </row>
    <row r="75" spans="1:7" x14ac:dyDescent="0.25">
      <c r="A75" s="71">
        <v>1390</v>
      </c>
      <c r="B75" s="71"/>
      <c r="C75" s="69">
        <v>1720</v>
      </c>
      <c r="D75" s="70"/>
      <c r="E75" s="72">
        <v>32</v>
      </c>
      <c r="F75" s="72"/>
      <c r="G75" s="72"/>
    </row>
    <row r="76" spans="1:7" x14ac:dyDescent="0.25">
      <c r="A76" s="71">
        <v>1470</v>
      </c>
      <c r="B76" s="71"/>
      <c r="C76" s="69">
        <v>1780</v>
      </c>
      <c r="D76" s="70"/>
      <c r="E76" s="72">
        <v>33</v>
      </c>
      <c r="F76" s="72"/>
      <c r="G76" s="72"/>
    </row>
    <row r="77" spans="1:7" x14ac:dyDescent="0.25">
      <c r="A77" s="71">
        <v>1520</v>
      </c>
      <c r="B77" s="71"/>
      <c r="C77" s="69">
        <v>1840</v>
      </c>
      <c r="D77" s="70"/>
      <c r="E77" s="72">
        <v>34</v>
      </c>
      <c r="F77" s="72"/>
      <c r="G77" s="72"/>
    </row>
    <row r="78" spans="1:7" x14ac:dyDescent="0.25">
      <c r="A78" s="71">
        <v>1570</v>
      </c>
      <c r="B78" s="71"/>
      <c r="C78" s="69">
        <v>1900</v>
      </c>
      <c r="D78" s="70"/>
      <c r="E78" s="72">
        <v>35</v>
      </c>
      <c r="F78" s="72"/>
      <c r="G78" s="72"/>
    </row>
    <row r="79" spans="1:7" x14ac:dyDescent="0.25">
      <c r="A79" s="71">
        <v>1620</v>
      </c>
      <c r="B79" s="71"/>
      <c r="C79" s="69">
        <v>1960</v>
      </c>
      <c r="D79" s="70"/>
      <c r="E79" s="72">
        <v>36</v>
      </c>
      <c r="F79" s="72"/>
      <c r="G79" s="72"/>
    </row>
    <row r="80" spans="1:7" x14ac:dyDescent="0.25">
      <c r="A80" s="71">
        <v>1680</v>
      </c>
      <c r="B80" s="71"/>
      <c r="C80" s="69">
        <v>2020</v>
      </c>
      <c r="D80" s="70"/>
      <c r="E80" s="72">
        <v>37</v>
      </c>
      <c r="F80" s="72"/>
      <c r="G80" s="72"/>
    </row>
    <row r="84" spans="1:20" x14ac:dyDescent="0.25">
      <c r="M84" t="s">
        <v>172</v>
      </c>
    </row>
    <row r="85" spans="1:20" x14ac:dyDescent="0.25">
      <c r="A85" s="2" t="s">
        <v>159</v>
      </c>
      <c r="M85" s="2" t="s">
        <v>173</v>
      </c>
    </row>
    <row r="86" spans="1:20" ht="16.5" thickBot="1" x14ac:dyDescent="0.3">
      <c r="A86" t="s">
        <v>160</v>
      </c>
      <c r="J86" s="2" t="s">
        <v>197</v>
      </c>
      <c r="K86" s="2" t="s">
        <v>161</v>
      </c>
      <c r="M86" s="19" t="s">
        <v>154</v>
      </c>
      <c r="N86" s="19"/>
      <c r="O86" s="19"/>
      <c r="P86" s="19"/>
      <c r="Q86" s="19"/>
      <c r="R86" s="43">
        <f>J45</f>
        <v>10</v>
      </c>
      <c r="S86" s="12" t="s">
        <v>148</v>
      </c>
      <c r="T86" s="43">
        <f>J42</f>
        <v>5</v>
      </c>
    </row>
    <row r="87" spans="1:20" ht="17.25" thickTop="1" thickBot="1" x14ac:dyDescent="0.3">
      <c r="A87" t="s">
        <v>162</v>
      </c>
      <c r="J87" s="21" t="s">
        <v>163</v>
      </c>
      <c r="K87" s="22">
        <v>0.71499999999999997</v>
      </c>
      <c r="M87" s="18" t="s">
        <v>155</v>
      </c>
      <c r="N87" s="18"/>
      <c r="R87" s="14"/>
    </row>
    <row r="88" spans="1:20" ht="16.5" thickTop="1" x14ac:dyDescent="0.25">
      <c r="A88" t="s">
        <v>164</v>
      </c>
      <c r="J88" s="21" t="s">
        <v>165</v>
      </c>
      <c r="K88" s="23">
        <v>0.48</v>
      </c>
      <c r="Q88" s="13"/>
      <c r="R88" s="13"/>
      <c r="S88" s="13"/>
    </row>
    <row r="89" spans="1:20" ht="15.75" x14ac:dyDescent="0.25">
      <c r="A89" t="s">
        <v>166</v>
      </c>
      <c r="J89" s="21" t="s">
        <v>167</v>
      </c>
      <c r="K89" s="23">
        <v>0.25</v>
      </c>
      <c r="M89" s="17" t="s">
        <v>158</v>
      </c>
      <c r="N89" s="17"/>
      <c r="O89" s="17"/>
      <c r="R89" s="15">
        <f xml:space="preserve"> (J45 -IF(ISBLANK(R87),R86,R87))/J45*100*K90</f>
        <v>0</v>
      </c>
      <c r="S89" s="13"/>
    </row>
    <row r="90" spans="1:20" ht="15.75" x14ac:dyDescent="0.25">
      <c r="A90" t="s">
        <v>168</v>
      </c>
      <c r="J90" s="21" t="s">
        <v>169</v>
      </c>
      <c r="K90" s="24">
        <v>0.75</v>
      </c>
      <c r="O90" s="13"/>
      <c r="P90" s="13"/>
      <c r="Q90" s="13"/>
      <c r="R90" s="13"/>
      <c r="S90" s="13"/>
    </row>
    <row r="91" spans="1:20" ht="15.75" x14ac:dyDescent="0.25">
      <c r="A91" t="s">
        <v>170</v>
      </c>
      <c r="J91" s="21" t="s">
        <v>15</v>
      </c>
      <c r="K91" s="23">
        <v>0.15</v>
      </c>
      <c r="M91" s="17" t="s">
        <v>171</v>
      </c>
      <c r="N91" s="17"/>
      <c r="O91" s="17"/>
      <c r="R91" s="16">
        <f>ROUND(K14 + R89,0)</f>
        <v>258</v>
      </c>
      <c r="S91" s="13"/>
    </row>
    <row r="94" spans="1:20" x14ac:dyDescent="0.25">
      <c r="A94" s="2" t="s">
        <v>174</v>
      </c>
      <c r="J94" s="2" t="s">
        <v>198</v>
      </c>
      <c r="K94"/>
    </row>
    <row r="95" spans="1:20" ht="15.75" x14ac:dyDescent="0.25">
      <c r="A95" s="41" t="s">
        <v>175</v>
      </c>
      <c r="B95" s="20">
        <f>ROUNDDOWN(J45/12,0)+1</f>
        <v>1</v>
      </c>
      <c r="C95" s="45" t="str">
        <f>IF(B95=1,"год",IF(B95&lt;5,"года","лет"))</f>
        <v>год</v>
      </c>
      <c r="J95" s="2" t="s">
        <v>199</v>
      </c>
      <c r="K95" s="20">
        <f>ROUND(R91/B95,0)</f>
        <v>258</v>
      </c>
    </row>
    <row r="97" spans="1:20" x14ac:dyDescent="0.25">
      <c r="A97" t="s">
        <v>176</v>
      </c>
      <c r="B97"/>
      <c r="C97"/>
      <c r="D97"/>
      <c r="E97"/>
      <c r="J97" s="2" t="s">
        <v>177</v>
      </c>
      <c r="K97"/>
      <c r="L97"/>
      <c r="M97"/>
      <c r="N97"/>
      <c r="O97"/>
      <c r="P97"/>
      <c r="Q97"/>
    </row>
    <row r="98" spans="1:20" ht="15.75" x14ac:dyDescent="0.25">
      <c r="A98">
        <v>2015</v>
      </c>
      <c r="B98" s="65">
        <v>1.373</v>
      </c>
      <c r="C98" s="65"/>
      <c r="E98"/>
      <c r="F98" t="s">
        <v>178</v>
      </c>
      <c r="J98" s="40" t="s">
        <v>183</v>
      </c>
      <c r="K98" s="29">
        <f>((B98+B99+B100)/3)</f>
        <v>1.1393333333333333</v>
      </c>
      <c r="L98"/>
      <c r="M98"/>
      <c r="N98"/>
      <c r="O98"/>
      <c r="P98" s="33"/>
    </row>
    <row r="99" spans="1:20" ht="15.75" x14ac:dyDescent="0.25">
      <c r="A99">
        <v>2016</v>
      </c>
      <c r="B99" s="65">
        <v>1.034</v>
      </c>
      <c r="C99" s="65"/>
      <c r="E99"/>
      <c r="F99" t="s">
        <v>179</v>
      </c>
      <c r="J99" s="42" t="s">
        <v>200</v>
      </c>
      <c r="K99" s="35">
        <v>9252</v>
      </c>
      <c r="L99" t="s">
        <v>180</v>
      </c>
      <c r="M99"/>
      <c r="P99" s="33"/>
    </row>
    <row r="100" spans="1:20" ht="15.75" x14ac:dyDescent="0.25">
      <c r="A100">
        <v>2017</v>
      </c>
      <c r="B100" s="65">
        <v>1.0109999999999999</v>
      </c>
      <c r="C100" s="65"/>
      <c r="E100"/>
      <c r="F100" t="s">
        <v>181</v>
      </c>
      <c r="J100" s="41" t="s">
        <v>182</v>
      </c>
      <c r="K100" s="30">
        <f>K99*(1+(K98/100))</f>
        <v>9357.4111200000007</v>
      </c>
      <c r="L100" s="30">
        <f>IF(B95&gt;=2,K100*(1+(K98/100)),0)</f>
        <v>0</v>
      </c>
      <c r="M100" s="30">
        <f>IF(B95&gt;=3,L100*(1+(K98/100)),0)</f>
        <v>0</v>
      </c>
      <c r="N100" s="30">
        <f>IF(B95&gt;=4,M100*(1+(K98/100)),0)</f>
        <v>0</v>
      </c>
      <c r="O100" s="30">
        <f>IF(B95&gt;=5,N100*(1+(K98/100)),0)</f>
        <v>0</v>
      </c>
      <c r="P100" s="34">
        <f>IF(B95&gt;=6,O100*(1+(K98/100)),0)</f>
        <v>0</v>
      </c>
      <c r="Q100" s="30">
        <f>IF(B95&gt;=7,P100*(1+(K98/100)),0)</f>
        <v>0</v>
      </c>
      <c r="R100" s="30">
        <f>IF(B95&gt;=8,Q100*(1+(K98/100)),0)</f>
        <v>0</v>
      </c>
      <c r="S100" s="30">
        <f>IF(B95&gt;=9,R100*(1+(K98/100)),0)</f>
        <v>0</v>
      </c>
      <c r="T100" s="30">
        <f>IF(B95&gt;=10,S100*(1+(K98/100)),0)</f>
        <v>0</v>
      </c>
    </row>
    <row r="101" spans="1:20" ht="15.75" x14ac:dyDescent="0.25">
      <c r="J101" s="41"/>
      <c r="K101" s="32">
        <v>1</v>
      </c>
      <c r="L101" s="32">
        <v>2</v>
      </c>
      <c r="M101" s="32">
        <v>3</v>
      </c>
      <c r="N101" s="32">
        <v>4</v>
      </c>
      <c r="O101" s="32">
        <v>5</v>
      </c>
      <c r="P101" s="32">
        <v>6</v>
      </c>
      <c r="Q101" s="32">
        <v>7</v>
      </c>
      <c r="R101" s="32">
        <v>8</v>
      </c>
      <c r="S101" s="32">
        <v>9</v>
      </c>
      <c r="T101" s="32">
        <v>10</v>
      </c>
    </row>
    <row r="102" spans="1:20" ht="15.75" x14ac:dyDescent="0.25">
      <c r="J102" s="67" t="s">
        <v>224</v>
      </c>
      <c r="K102" s="67"/>
      <c r="L102" s="67"/>
      <c r="M102" s="44"/>
      <c r="P102" s="33"/>
    </row>
    <row r="104" spans="1:20" x14ac:dyDescent="0.25">
      <c r="A104" s="2" t="s">
        <v>184</v>
      </c>
      <c r="B104"/>
      <c r="C104"/>
      <c r="D104"/>
      <c r="E104"/>
      <c r="J104" s="2" t="s">
        <v>185</v>
      </c>
      <c r="K104"/>
      <c r="L104"/>
      <c r="M104"/>
      <c r="N104"/>
      <c r="O104"/>
      <c r="P104"/>
      <c r="Q104"/>
      <c r="R104"/>
    </row>
    <row r="105" spans="1:20" ht="15.75" x14ac:dyDescent="0.25">
      <c r="A105" s="41" t="s">
        <v>186</v>
      </c>
      <c r="B105" s="66">
        <f>SUM(K109:T109)*K95</f>
        <v>2455268.5818918454</v>
      </c>
      <c r="C105" s="66"/>
      <c r="E105"/>
      <c r="F105" t="s">
        <v>187</v>
      </c>
      <c r="J105" s="2" t="s">
        <v>196</v>
      </c>
      <c r="K105" s="31">
        <v>0.28000000000000003</v>
      </c>
      <c r="L105"/>
      <c r="M105"/>
      <c r="N105"/>
      <c r="O105"/>
      <c r="P105"/>
      <c r="Q105"/>
      <c r="R105"/>
    </row>
    <row r="106" spans="1:20" ht="15.75" x14ac:dyDescent="0.25">
      <c r="A106" s="67" t="s">
        <v>222</v>
      </c>
      <c r="B106" s="67"/>
      <c r="C106" s="67"/>
      <c r="E106"/>
      <c r="F106" t="s">
        <v>188</v>
      </c>
      <c r="J106" s="2" t="s">
        <v>192</v>
      </c>
      <c r="K106" s="31">
        <v>0.71499999999999997</v>
      </c>
      <c r="L106"/>
      <c r="M106"/>
      <c r="N106"/>
      <c r="O106"/>
      <c r="P106"/>
      <c r="Q106"/>
      <c r="R106"/>
    </row>
    <row r="107" spans="1:20" ht="15.75" x14ac:dyDescent="0.25">
      <c r="A107" t="s">
        <v>225</v>
      </c>
      <c r="B107"/>
      <c r="C107"/>
      <c r="E107"/>
      <c r="F107" t="s">
        <v>189</v>
      </c>
      <c r="J107" s="2" t="s">
        <v>193</v>
      </c>
      <c r="K107" s="31">
        <v>0.48</v>
      </c>
      <c r="L107"/>
      <c r="M107"/>
      <c r="N107"/>
      <c r="O107"/>
      <c r="P107"/>
      <c r="Q107"/>
      <c r="R107"/>
    </row>
    <row r="108" spans="1:20" ht="15.75" x14ac:dyDescent="0.25">
      <c r="A108" s="67" t="s">
        <v>226</v>
      </c>
      <c r="B108" s="67"/>
      <c r="C108" s="67"/>
      <c r="E108"/>
      <c r="F108" t="s">
        <v>190</v>
      </c>
      <c r="J108" s="2" t="s">
        <v>194</v>
      </c>
      <c r="K108" s="31">
        <v>0.25</v>
      </c>
      <c r="L108"/>
      <c r="M108"/>
      <c r="N108"/>
      <c r="O108"/>
      <c r="P108"/>
      <c r="Q108"/>
      <c r="R108"/>
    </row>
    <row r="109" spans="1:20" ht="15.75" x14ac:dyDescent="0.25">
      <c r="A109"/>
      <c r="B109"/>
      <c r="E109"/>
      <c r="F109" t="s">
        <v>191</v>
      </c>
      <c r="J109" s="40" t="s">
        <v>195</v>
      </c>
      <c r="K109" s="30">
        <f>K100*(1+(0.9*K105+K106+K107)/100) * (1+K108/100)</f>
        <v>9516.5448910536652</v>
      </c>
      <c r="L109" s="30">
        <f>IF(L100&lt;&gt;0,L100*(1+(0.9*K105+K106+K107)/100)*(1+K108/100),0)</f>
        <v>0</v>
      </c>
      <c r="M109" s="30">
        <f>IF(M100&lt;&gt;0,M100*(1+(0.9*K105+K106+K107)/100) * (1+K108/100),0)</f>
        <v>0</v>
      </c>
      <c r="N109" s="30">
        <f>IF(N100&lt;&gt;0,N100*(1+(0.9*K105+K106+K107)/100) * (1+K108/100),0)</f>
        <v>0</v>
      </c>
      <c r="O109" s="30">
        <f>IF(O100&lt;&gt;0,O100*(1+(0.9*K105+K106+K107)/100) * (1+K108/100),0)</f>
        <v>0</v>
      </c>
      <c r="P109" s="30">
        <f>IF(P100&lt;&gt;0,P100*(1+(0.9*K105+K106+K107)/100) * (1+K108/100),0)</f>
        <v>0</v>
      </c>
      <c r="Q109" s="30">
        <f>IF(Q100&lt;&gt;0,Q100*(1+(0.9*K105+K106+K107)/100) * (1+K108/100),0)</f>
        <v>0</v>
      </c>
      <c r="R109" s="30">
        <f>IF(R100&lt;&gt;0,R100*(1+(0.9*K105+K106+K107)/100) * (1+K108/100),0)</f>
        <v>0</v>
      </c>
      <c r="S109" s="30">
        <f>IF(S100&lt;&gt;0,M100*(1+(0.9*K105+K106+K107)/100) * (1+K108/100),0)</f>
        <v>0</v>
      </c>
      <c r="T109" s="30">
        <f>IF(T100&lt;&gt;0,T100*(1+(0.9*K105+K106+K107)/100) * (1+K108/100),0)</f>
        <v>0</v>
      </c>
    </row>
    <row r="110" spans="1:20" x14ac:dyDescent="0.25">
      <c r="K110" s="32">
        <v>1</v>
      </c>
      <c r="L110" s="32">
        <v>2</v>
      </c>
      <c r="M110" s="32">
        <v>3</v>
      </c>
      <c r="N110" s="32">
        <v>4</v>
      </c>
      <c r="O110" s="32">
        <v>5</v>
      </c>
      <c r="P110" s="32">
        <v>6</v>
      </c>
      <c r="Q110" s="32">
        <v>7</v>
      </c>
      <c r="R110" s="32">
        <v>8</v>
      </c>
      <c r="S110" s="32">
        <v>9</v>
      </c>
      <c r="T110" s="32">
        <v>10</v>
      </c>
    </row>
    <row r="111" spans="1:20" ht="15.75" x14ac:dyDescent="0.25">
      <c r="J111" s="68" t="s">
        <v>223</v>
      </c>
      <c r="K111" s="68"/>
      <c r="L111" s="68"/>
      <c r="M111" s="68"/>
      <c r="N111" s="68"/>
      <c r="O111" s="68"/>
      <c r="P111" s="68"/>
      <c r="Q111"/>
    </row>
    <row r="112" spans="1:20" x14ac:dyDescent="0.25">
      <c r="L112"/>
      <c r="M112"/>
      <c r="N112"/>
      <c r="O112"/>
      <c r="P112"/>
      <c r="Q112"/>
    </row>
    <row r="113" spans="1:18" x14ac:dyDescent="0.25">
      <c r="A113" s="2" t="s">
        <v>201</v>
      </c>
      <c r="B113"/>
    </row>
    <row r="114" spans="1:18" ht="15.75" x14ac:dyDescent="0.25">
      <c r="A114" s="41" t="s">
        <v>202</v>
      </c>
      <c r="B114" s="66">
        <f>B105*(K91/100%)*J22*J23*J36</f>
        <v>552435.43092566519</v>
      </c>
      <c r="C114" s="66"/>
    </row>
    <row r="115" spans="1:18" ht="15.75" x14ac:dyDescent="0.25">
      <c r="A115" s="67" t="s">
        <v>228</v>
      </c>
      <c r="B115" s="67"/>
      <c r="C115" s="67"/>
      <c r="D115" s="67"/>
      <c r="E115" s="67"/>
    </row>
    <row r="116" spans="1:18" ht="15" customHeight="1" x14ac:dyDescent="0.25"/>
    <row r="117" spans="1:18" ht="15" customHeight="1" x14ac:dyDescent="0.25">
      <c r="A117" s="61" t="s">
        <v>208</v>
      </c>
      <c r="B117" s="61"/>
      <c r="C117" s="61"/>
      <c r="D117" s="61" t="s">
        <v>235</v>
      </c>
      <c r="E117" s="61"/>
      <c r="F117" s="61"/>
      <c r="G117" s="61"/>
      <c r="H117" s="61" t="s">
        <v>209</v>
      </c>
      <c r="I117" s="61"/>
      <c r="J117" s="61"/>
      <c r="K117" s="61"/>
      <c r="L117" s="61" t="s">
        <v>211</v>
      </c>
      <c r="M117" s="61"/>
      <c r="N117" s="61"/>
      <c r="O117" s="61"/>
      <c r="Q117" s="1" t="s">
        <v>217</v>
      </c>
      <c r="R117" s="1">
        <v>0</v>
      </c>
    </row>
    <row r="118" spans="1:18" ht="15" customHeight="1" x14ac:dyDescent="0.25">
      <c r="A118" s="61"/>
      <c r="B118" s="61"/>
      <c r="C118" s="61"/>
      <c r="D118" s="61"/>
      <c r="E118" s="61"/>
      <c r="F118" s="61"/>
      <c r="G118" s="61"/>
      <c r="H118" s="61"/>
      <c r="I118" s="61"/>
      <c r="J118" s="61"/>
      <c r="K118" s="61"/>
      <c r="L118" s="61"/>
      <c r="M118" s="61"/>
      <c r="N118" s="61"/>
      <c r="O118" s="61"/>
      <c r="Q118" s="1" t="s">
        <v>216</v>
      </c>
      <c r="R118" s="1">
        <v>1</v>
      </c>
    </row>
    <row r="119" spans="1:18" ht="15" customHeight="1" x14ac:dyDescent="0.25">
      <c r="A119" s="61"/>
      <c r="B119" s="61"/>
      <c r="C119" s="61"/>
      <c r="D119" s="61"/>
      <c r="E119" s="61"/>
      <c r="F119" s="61"/>
      <c r="G119" s="61"/>
      <c r="H119" s="61"/>
      <c r="I119" s="61"/>
      <c r="J119" s="61"/>
      <c r="K119" s="61"/>
      <c r="L119" s="61"/>
      <c r="M119" s="61"/>
      <c r="N119" s="61"/>
      <c r="O119" s="61"/>
    </row>
    <row r="120" spans="1:18" ht="15" customHeight="1" x14ac:dyDescent="0.25">
      <c r="A120" s="61"/>
      <c r="B120" s="61"/>
      <c r="C120" s="61"/>
      <c r="D120" s="61"/>
      <c r="E120" s="61"/>
      <c r="F120" s="61"/>
      <c r="G120" s="61"/>
      <c r="H120" s="61"/>
      <c r="I120" s="61"/>
      <c r="J120" s="61"/>
      <c r="K120" s="61"/>
      <c r="L120" s="63" t="s">
        <v>210</v>
      </c>
      <c r="M120" s="63"/>
      <c r="N120" s="64" t="s">
        <v>215</v>
      </c>
      <c r="O120" s="64"/>
      <c r="Q120" s="1" t="s">
        <v>218</v>
      </c>
      <c r="R120" s="1">
        <v>0</v>
      </c>
    </row>
    <row r="121" spans="1:18" ht="15" customHeight="1" x14ac:dyDescent="0.25">
      <c r="A121" s="62" t="s">
        <v>207</v>
      </c>
      <c r="B121" s="62"/>
      <c r="C121" s="62"/>
      <c r="D121" s="58">
        <v>1</v>
      </c>
      <c r="E121" s="58"/>
      <c r="F121" s="58"/>
      <c r="G121" s="58"/>
      <c r="H121" s="58">
        <v>6</v>
      </c>
      <c r="I121" s="58"/>
      <c r="J121" s="58"/>
      <c r="K121" s="58"/>
      <c r="L121" s="64">
        <v>12</v>
      </c>
      <c r="M121" s="64"/>
      <c r="N121" s="64">
        <v>60</v>
      </c>
      <c r="O121" s="64"/>
      <c r="Q121" s="1" t="s">
        <v>219</v>
      </c>
      <c r="R121" s="1">
        <v>1</v>
      </c>
    </row>
    <row r="122" spans="1:18" ht="15" customHeight="1" x14ac:dyDescent="0.25">
      <c r="A122" s="62" t="s">
        <v>203</v>
      </c>
      <c r="B122" s="62"/>
      <c r="C122" s="62"/>
      <c r="D122" s="58"/>
      <c r="E122" s="58"/>
      <c r="F122" s="58"/>
      <c r="G122" s="58"/>
      <c r="H122" s="58"/>
      <c r="I122" s="58"/>
      <c r="J122" s="58"/>
      <c r="K122" s="58"/>
      <c r="L122" s="64">
        <v>24</v>
      </c>
      <c r="M122" s="64"/>
      <c r="N122" s="64">
        <v>120</v>
      </c>
      <c r="O122" s="64"/>
    </row>
    <row r="123" spans="1:18" ht="15" customHeight="1" x14ac:dyDescent="0.25">
      <c r="A123" s="62" t="s">
        <v>204</v>
      </c>
      <c r="B123" s="62"/>
      <c r="C123" s="62"/>
      <c r="D123" s="58"/>
      <c r="E123" s="58"/>
      <c r="F123" s="58"/>
      <c r="G123" s="58"/>
      <c r="H123" s="58"/>
      <c r="I123" s="58"/>
      <c r="J123" s="58"/>
      <c r="K123" s="58"/>
      <c r="L123" s="64">
        <v>36</v>
      </c>
      <c r="M123" s="64"/>
      <c r="N123" s="64">
        <v>180</v>
      </c>
      <c r="O123" s="64"/>
    </row>
    <row r="124" spans="1:18" ht="15" customHeight="1" x14ac:dyDescent="0.25">
      <c r="A124" s="62" t="s">
        <v>205</v>
      </c>
      <c r="B124" s="62"/>
      <c r="C124" s="62"/>
      <c r="D124" s="58"/>
      <c r="E124" s="58"/>
      <c r="F124" s="58"/>
      <c r="G124" s="58"/>
      <c r="H124" s="58"/>
      <c r="I124" s="58"/>
      <c r="J124" s="58"/>
      <c r="K124" s="58"/>
      <c r="L124" s="64">
        <v>48</v>
      </c>
      <c r="M124" s="64"/>
      <c r="N124" s="64">
        <v>240</v>
      </c>
      <c r="O124" s="64"/>
    </row>
    <row r="125" spans="1:18" ht="15" customHeight="1" x14ac:dyDescent="0.25">
      <c r="A125" s="57" t="s">
        <v>206</v>
      </c>
      <c r="B125" s="57"/>
      <c r="C125" s="57"/>
      <c r="D125" s="58"/>
      <c r="E125" s="58"/>
      <c r="F125" s="58"/>
      <c r="G125" s="58"/>
      <c r="H125" s="58"/>
      <c r="I125" s="58"/>
      <c r="J125" s="58"/>
      <c r="K125" s="58"/>
      <c r="L125" s="59">
        <v>12</v>
      </c>
      <c r="M125" s="59"/>
      <c r="N125" s="59">
        <v>60</v>
      </c>
      <c r="O125" s="59"/>
    </row>
    <row r="126" spans="1:18" x14ac:dyDescent="0.25">
      <c r="A126" s="57"/>
      <c r="B126" s="57"/>
      <c r="C126" s="57"/>
      <c r="D126" s="58"/>
      <c r="E126" s="58"/>
      <c r="F126" s="58"/>
      <c r="G126" s="58"/>
      <c r="H126" s="58"/>
      <c r="I126" s="58"/>
      <c r="J126" s="58"/>
      <c r="K126" s="58"/>
      <c r="L126" s="59"/>
      <c r="M126" s="59"/>
      <c r="N126" s="59"/>
      <c r="O126" s="59"/>
    </row>
    <row r="128" spans="1:18" ht="15.75" thickBot="1" x14ac:dyDescent="0.3"/>
    <row r="129" spans="1:15" ht="15" customHeight="1" thickTop="1" thickBot="1" x14ac:dyDescent="0.3">
      <c r="A129" s="52" t="s">
        <v>214</v>
      </c>
      <c r="B129" s="52"/>
      <c r="C129" s="52"/>
      <c r="D129" s="52"/>
      <c r="E129" s="52"/>
      <c r="F129" s="52"/>
      <c r="G129" s="52"/>
      <c r="H129" s="52"/>
      <c r="I129" s="53" t="s">
        <v>217</v>
      </c>
      <c r="J129" s="54"/>
      <c r="K129" s="54"/>
      <c r="L129" s="54"/>
      <c r="M129" s="54"/>
      <c r="N129" s="55"/>
      <c r="O129" s="37">
        <f>VLOOKUP(I129,Q117:R118,2,0)</f>
        <v>0</v>
      </c>
    </row>
    <row r="130" spans="1:15" ht="15" customHeight="1" thickTop="1" thickBot="1" x14ac:dyDescent="0.3">
      <c r="A130" s="52" t="s">
        <v>211</v>
      </c>
      <c r="B130" s="52"/>
      <c r="C130" s="52"/>
      <c r="D130" s="52"/>
      <c r="E130" s="52"/>
      <c r="F130" s="52"/>
      <c r="G130" s="52"/>
      <c r="H130" s="52"/>
      <c r="I130" s="53" t="s">
        <v>218</v>
      </c>
      <c r="J130" s="54"/>
      <c r="K130" s="54"/>
      <c r="L130" s="54"/>
      <c r="M130" s="54"/>
      <c r="N130" s="55"/>
      <c r="O130" s="38">
        <f>VLOOKUP(I130,Q120:R121,2,0)</f>
        <v>0</v>
      </c>
    </row>
    <row r="131" spans="1:15" ht="15" customHeight="1" thickTop="1" thickBot="1" x14ac:dyDescent="0.3">
      <c r="A131" s="49" t="s">
        <v>208</v>
      </c>
      <c r="B131" s="49"/>
      <c r="C131" s="49"/>
      <c r="D131" s="49"/>
      <c r="E131" s="49"/>
      <c r="F131" s="49"/>
      <c r="G131" s="49"/>
      <c r="H131" s="49"/>
      <c r="I131" s="49"/>
      <c r="J131" s="49"/>
      <c r="K131" s="49"/>
      <c r="L131" s="49"/>
      <c r="M131" s="49"/>
      <c r="N131" s="50"/>
      <c r="O131" s="39">
        <v>42</v>
      </c>
    </row>
    <row r="132" spans="1:15" ht="16.5" thickTop="1" x14ac:dyDescent="0.25">
      <c r="A132" s="49" t="s">
        <v>211</v>
      </c>
      <c r="B132" s="49"/>
      <c r="C132" s="49"/>
      <c r="D132" s="49"/>
      <c r="E132" s="49"/>
      <c r="F132" s="49"/>
      <c r="G132" s="49"/>
      <c r="H132" s="49"/>
      <c r="I132" s="49"/>
      <c r="J132" s="49"/>
      <c r="K132" s="49"/>
      <c r="L132" s="49"/>
      <c r="M132" s="49"/>
      <c r="N132" s="51"/>
      <c r="O132" s="15">
        <f>user_koef(O131,O130)</f>
        <v>12</v>
      </c>
    </row>
    <row r="135" spans="1:15" x14ac:dyDescent="0.25">
      <c r="A135" s="2" t="s">
        <v>213</v>
      </c>
      <c r="B135"/>
      <c r="J135" s="2" t="s">
        <v>220</v>
      </c>
      <c r="K135"/>
      <c r="L135"/>
      <c r="M135"/>
    </row>
    <row r="136" spans="1:15" ht="15.75" x14ac:dyDescent="0.25">
      <c r="A136" s="41" t="s">
        <v>212</v>
      </c>
      <c r="B136" s="56">
        <f>(D121+O129*H121+O132)*K109*12</f>
        <v>1484581.0030043717</v>
      </c>
      <c r="C136" s="56"/>
      <c r="J136" s="41" t="s">
        <v>221</v>
      </c>
      <c r="K136" s="60">
        <f>B114+B136</f>
        <v>2037016.4339300368</v>
      </c>
      <c r="L136" s="60"/>
      <c r="M136"/>
    </row>
    <row r="137" spans="1:15" ht="15.75" x14ac:dyDescent="0.25">
      <c r="A137" s="67" t="s">
        <v>229</v>
      </c>
      <c r="B137" s="67"/>
      <c r="C137" s="67"/>
      <c r="D137" s="67"/>
      <c r="E137" s="67"/>
      <c r="F137" s="67"/>
      <c r="J137" s="67" t="s">
        <v>227</v>
      </c>
      <c r="K137" s="67"/>
      <c r="L137" s="67"/>
    </row>
    <row r="146" ht="15" customHeight="1" x14ac:dyDescent="0.25"/>
    <row r="147" ht="15" customHeight="1" x14ac:dyDescent="0.25"/>
  </sheetData>
  <mergeCells count="202">
    <mergeCell ref="J137:L137"/>
    <mergeCell ref="A108:C108"/>
    <mergeCell ref="A115:E115"/>
    <mergeCell ref="A137:F137"/>
    <mergeCell ref="J18:J20"/>
    <mergeCell ref="A21:B30"/>
    <mergeCell ref="C21:E21"/>
    <mergeCell ref="C22:E22"/>
    <mergeCell ref="C23:E23"/>
    <mergeCell ref="C24:E24"/>
    <mergeCell ref="C25:E25"/>
    <mergeCell ref="A18:B20"/>
    <mergeCell ref="F28:H28"/>
    <mergeCell ref="F29:H29"/>
    <mergeCell ref="F30:H30"/>
    <mergeCell ref="I18:I20"/>
    <mergeCell ref="F26:H26"/>
    <mergeCell ref="F27:H27"/>
    <mergeCell ref="F21:H21"/>
    <mergeCell ref="F22:H22"/>
    <mergeCell ref="F23:H23"/>
    <mergeCell ref="F24:H24"/>
    <mergeCell ref="F25:H25"/>
    <mergeCell ref="C18:E20"/>
    <mergeCell ref="F18:H20"/>
    <mergeCell ref="C26:E26"/>
    <mergeCell ref="C27:E27"/>
    <mergeCell ref="C28:E28"/>
    <mergeCell ref="C29:E29"/>
    <mergeCell ref="C30:E30"/>
    <mergeCell ref="C38:E38"/>
    <mergeCell ref="F38:H38"/>
    <mergeCell ref="C37:E37"/>
    <mergeCell ref="C36:E36"/>
    <mergeCell ref="F36:H36"/>
    <mergeCell ref="F33:H33"/>
    <mergeCell ref="C34:E34"/>
    <mergeCell ref="F34:H34"/>
    <mergeCell ref="C35:E35"/>
    <mergeCell ref="F35:H35"/>
    <mergeCell ref="C60:D60"/>
    <mergeCell ref="C61:D61"/>
    <mergeCell ref="C62:D62"/>
    <mergeCell ref="A31:B37"/>
    <mergeCell ref="E61:G61"/>
    <mergeCell ref="F37:H37"/>
    <mergeCell ref="C33:E33"/>
    <mergeCell ref="E48:G48"/>
    <mergeCell ref="E49:G49"/>
    <mergeCell ref="E50:G50"/>
    <mergeCell ref="E51:G51"/>
    <mergeCell ref="E44:G44"/>
    <mergeCell ref="E45:G45"/>
    <mergeCell ref="E46:G46"/>
    <mergeCell ref="E47:G47"/>
    <mergeCell ref="A38:B38"/>
    <mergeCell ref="E42:G43"/>
    <mergeCell ref="C31:E31"/>
    <mergeCell ref="F31:H31"/>
    <mergeCell ref="C32:E32"/>
    <mergeCell ref="F32:H32"/>
    <mergeCell ref="A50:B50"/>
    <mergeCell ref="C54:D54"/>
    <mergeCell ref="C55:D55"/>
    <mergeCell ref="C56:D56"/>
    <mergeCell ref="C57:D57"/>
    <mergeCell ref="C58:D58"/>
    <mergeCell ref="C59:D59"/>
    <mergeCell ref="C48:D48"/>
    <mergeCell ref="C49:D49"/>
    <mergeCell ref="C50:D50"/>
    <mergeCell ref="C51:D51"/>
    <mergeCell ref="C52:D52"/>
    <mergeCell ref="C53:D53"/>
    <mergeCell ref="A53:B53"/>
    <mergeCell ref="A54:B54"/>
    <mergeCell ref="A55:B55"/>
    <mergeCell ref="A56:B56"/>
    <mergeCell ref="A45:B45"/>
    <mergeCell ref="A46:B46"/>
    <mergeCell ref="A47:B47"/>
    <mergeCell ref="A48:B48"/>
    <mergeCell ref="A49:B49"/>
    <mergeCell ref="A42:B43"/>
    <mergeCell ref="C42:D43"/>
    <mergeCell ref="A44:B44"/>
    <mergeCell ref="C44:D44"/>
    <mergeCell ref="C45:D45"/>
    <mergeCell ref="C46:D46"/>
    <mergeCell ref="C47:D47"/>
    <mergeCell ref="A51:B51"/>
    <mergeCell ref="A52:B52"/>
    <mergeCell ref="E63:G63"/>
    <mergeCell ref="E58:G58"/>
    <mergeCell ref="E59:G59"/>
    <mergeCell ref="E60:G60"/>
    <mergeCell ref="E62:G62"/>
    <mergeCell ref="E52:G52"/>
    <mergeCell ref="E53:G53"/>
    <mergeCell ref="E54:G54"/>
    <mergeCell ref="E55:G55"/>
    <mergeCell ref="E56:G56"/>
    <mergeCell ref="E57:G57"/>
    <mergeCell ref="E76:G76"/>
    <mergeCell ref="E70:G70"/>
    <mergeCell ref="E71:G71"/>
    <mergeCell ref="E72:G72"/>
    <mergeCell ref="E73:G73"/>
    <mergeCell ref="E74:G74"/>
    <mergeCell ref="E75:G75"/>
    <mergeCell ref="E64:G64"/>
    <mergeCell ref="E65:G65"/>
    <mergeCell ref="E66:G66"/>
    <mergeCell ref="E67:G67"/>
    <mergeCell ref="E68:G68"/>
    <mergeCell ref="E69:G69"/>
    <mergeCell ref="A63:B63"/>
    <mergeCell ref="A64:B64"/>
    <mergeCell ref="A65:B65"/>
    <mergeCell ref="A57:B57"/>
    <mergeCell ref="A58:B58"/>
    <mergeCell ref="A59:B59"/>
    <mergeCell ref="A60:B60"/>
    <mergeCell ref="A61:B61"/>
    <mergeCell ref="A62:B62"/>
    <mergeCell ref="A66:B66"/>
    <mergeCell ref="A67:B67"/>
    <mergeCell ref="A68:B68"/>
    <mergeCell ref="C63:D63"/>
    <mergeCell ref="C64:D64"/>
    <mergeCell ref="C65:D65"/>
    <mergeCell ref="E80:G80"/>
    <mergeCell ref="A75:B75"/>
    <mergeCell ref="A76:B76"/>
    <mergeCell ref="A77:B77"/>
    <mergeCell ref="A78:B78"/>
    <mergeCell ref="A79:B79"/>
    <mergeCell ref="A80:B80"/>
    <mergeCell ref="A69:B69"/>
    <mergeCell ref="A70:B70"/>
    <mergeCell ref="A71:B71"/>
    <mergeCell ref="A72:B72"/>
    <mergeCell ref="A73:B73"/>
    <mergeCell ref="A74:B74"/>
    <mergeCell ref="E77:G77"/>
    <mergeCell ref="E78:G78"/>
    <mergeCell ref="E79:G79"/>
    <mergeCell ref="C78:D78"/>
    <mergeCell ref="C79:D79"/>
    <mergeCell ref="C77:D77"/>
    <mergeCell ref="C66:D66"/>
    <mergeCell ref="C67:D67"/>
    <mergeCell ref="C68:D68"/>
    <mergeCell ref="C69:D69"/>
    <mergeCell ref="C70:D70"/>
    <mergeCell ref="C71:D71"/>
    <mergeCell ref="C80:D80"/>
    <mergeCell ref="C72:D72"/>
    <mergeCell ref="C73:D73"/>
    <mergeCell ref="C74:D74"/>
    <mergeCell ref="C75:D75"/>
    <mergeCell ref="C76:D76"/>
    <mergeCell ref="L122:M122"/>
    <mergeCell ref="L123:M123"/>
    <mergeCell ref="L124:M124"/>
    <mergeCell ref="N121:O121"/>
    <mergeCell ref="N122:O122"/>
    <mergeCell ref="N123:O123"/>
    <mergeCell ref="N124:O124"/>
    <mergeCell ref="N120:O120"/>
    <mergeCell ref="B98:C98"/>
    <mergeCell ref="B99:C99"/>
    <mergeCell ref="B100:C100"/>
    <mergeCell ref="B105:C105"/>
    <mergeCell ref="B114:C114"/>
    <mergeCell ref="A106:C106"/>
    <mergeCell ref="J111:P111"/>
    <mergeCell ref="J102:L102"/>
    <mergeCell ref="A11:D11"/>
    <mergeCell ref="A131:N131"/>
    <mergeCell ref="A132:N132"/>
    <mergeCell ref="A129:H129"/>
    <mergeCell ref="I129:N129"/>
    <mergeCell ref="A130:H130"/>
    <mergeCell ref="I130:N130"/>
    <mergeCell ref="B136:C136"/>
    <mergeCell ref="A125:C126"/>
    <mergeCell ref="D121:G126"/>
    <mergeCell ref="H121:K126"/>
    <mergeCell ref="L125:M126"/>
    <mergeCell ref="N125:O126"/>
    <mergeCell ref="K136:L136"/>
    <mergeCell ref="A117:C120"/>
    <mergeCell ref="D117:G120"/>
    <mergeCell ref="H117:K120"/>
    <mergeCell ref="L117:O119"/>
    <mergeCell ref="A121:C121"/>
    <mergeCell ref="A122:C122"/>
    <mergeCell ref="A123:C123"/>
    <mergeCell ref="A124:C124"/>
    <mergeCell ref="L120:M120"/>
    <mergeCell ref="L121:M121"/>
  </mergeCells>
  <dataValidations count="22">
    <dataValidation type="list" allowBlank="1" showInputMessage="1" showErrorMessage="1" sqref="F38:H38">
      <formula1>$T$58:$T$63</formula1>
    </dataValidation>
    <dataValidation type="list" allowBlank="1" showInputMessage="1" showErrorMessage="1" sqref="F21:H21">
      <formula1>$T$2:$T$5</formula1>
    </dataValidation>
    <dataValidation type="list" allowBlank="1" showInputMessage="1" showErrorMessage="1" sqref="F22:H22">
      <formula1>$T$6:$T$10</formula1>
    </dataValidation>
    <dataValidation type="list" allowBlank="1" showInputMessage="1" showErrorMessage="1" sqref="F23:H23">
      <formula1>$T$11:$T$13</formula1>
    </dataValidation>
    <dataValidation type="list" allowBlank="1" showInputMessage="1" showErrorMessage="1" sqref="F24:H24">
      <formula1>$T$14:$T$16</formula1>
    </dataValidation>
    <dataValidation type="list" allowBlank="1" showInputMessage="1" showErrorMessage="1" sqref="F25:H25">
      <formula1>$T$17:$T$19</formula1>
    </dataValidation>
    <dataValidation type="list" allowBlank="1" showInputMessage="1" showErrorMessage="1" sqref="F26:H26">
      <formula1>$T$20:$T$22</formula1>
    </dataValidation>
    <dataValidation type="list" allowBlank="1" showInputMessage="1" showErrorMessage="1" sqref="F27:H27">
      <formula1>$T$23:$T$25</formula1>
    </dataValidation>
    <dataValidation type="list" allowBlank="1" showInputMessage="1" showErrorMessage="1" sqref="F28:H28">
      <formula1>$T$26:$T$28</formula1>
    </dataValidation>
    <dataValidation type="list" allowBlank="1" showInputMessage="1" showErrorMessage="1" sqref="F29:H29">
      <formula1>$T$29:$T$31</formula1>
    </dataValidation>
    <dataValidation type="list" allowBlank="1" showInputMessage="1" showErrorMessage="1" sqref="F30:H30">
      <formula1>$T$32:$T$35</formula1>
    </dataValidation>
    <dataValidation type="list" allowBlank="1" showInputMessage="1" showErrorMessage="1" sqref="F31:H31">
      <formula1>$T$36:$T$41</formula1>
    </dataValidation>
    <dataValidation type="list" allowBlank="1" showInputMessage="1" showErrorMessage="1" sqref="F32:H32">
      <formula1>$T$42:$T$43</formula1>
    </dataValidation>
    <dataValidation type="list" allowBlank="1" showInputMessage="1" showErrorMessage="1" sqref="F33:H33">
      <formula1>$T$44:$T$45</formula1>
    </dataValidation>
    <dataValidation type="list" allowBlank="1" showInputMessage="1" showErrorMessage="1" sqref="F34:H34">
      <formula1>$T$46:$T$47</formula1>
    </dataValidation>
    <dataValidation type="list" allowBlank="1" showInputMessage="1" showErrorMessage="1" sqref="F35:H35">
      <formula1>$T$48:$T$49</formula1>
    </dataValidation>
    <dataValidation type="list" allowBlank="1" showInputMessage="1" showErrorMessage="1" sqref="F36:H36">
      <formula1>$T$50:$T$53</formula1>
    </dataValidation>
    <dataValidation type="list" allowBlank="1" showInputMessage="1" showErrorMessage="1" sqref="F37:H37">
      <formula1>$T$54:$T$57</formula1>
    </dataValidation>
    <dataValidation type="decimal" allowBlank="1" showInputMessage="1" showErrorMessage="1" sqref="R87">
      <formula1>J42</formula1>
      <formula2>J45</formula2>
    </dataValidation>
    <dataValidation type="list" allowBlank="1" showInputMessage="1" showErrorMessage="1" sqref="I129:N129">
      <formula1>$Q$117:$Q$118</formula1>
    </dataValidation>
    <dataValidation type="list" allowBlank="1" showInputMessage="1" showErrorMessage="1" sqref="I130">
      <formula1>$Q$120:$Q$121</formula1>
    </dataValidation>
    <dataValidation type="whole" operator="greaterThan" showInputMessage="1" showErrorMessage="1" sqref="O131">
      <formula1>0</formula1>
    </dataValidation>
  </dataValidations>
  <pageMargins left="0.7" right="0.7" top="0.75" bottom="0.75" header="0.3" footer="0.3"/>
  <pageSetup paperSize="0" orientation="portrait" horizontalDpi="0" verticalDpi="0" copie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>HC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Ustas</dc:creator>
  <cp:lastModifiedBy>Ustas</cp:lastModifiedBy>
  <dcterms:created xsi:type="dcterms:W3CDTF">2017-12-11T10:07:13Z</dcterms:created>
  <dcterms:modified xsi:type="dcterms:W3CDTF">2018-04-10T12:40:04Z</dcterms:modified>
</cp:coreProperties>
</file>